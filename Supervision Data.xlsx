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72D2732-711B-4EF4-A030-55C1911048F1}" xr6:coauthVersionLast="47" xr6:coauthVersionMax="47" xr10:uidLastSave="{00000000-0000-0000-0000-000000000000}"/>
  <bookViews>
    <workbookView xWindow="-120" yWindow="-120" windowWidth="29040" windowHeight="15720" activeTab="1" xr2:uid="{C3F8DF7A-209B-4600-9715-AE2B264C2F8A}"/>
  </bookViews>
  <sheets>
    <sheet name="Sheet2" sheetId="2" r:id="rId1"/>
    <sheet name="Sheet1" sheetId="1" r:id="rId2"/>
  </sheets>
  <definedNames>
    <definedName name="_xlnm._FilterDatabase" localSheetId="1" hidden="1">Sheet1!$A$1:$J$372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5" i="1" l="1"/>
  <c r="O170" i="1"/>
  <c r="O3" i="1"/>
  <c r="O260" i="1"/>
  <c r="O10" i="1"/>
  <c r="O7" i="1"/>
  <c r="O372" i="1"/>
  <c r="O284" i="1"/>
  <c r="O309" i="1"/>
  <c r="O68" i="1"/>
  <c r="O15" i="1"/>
  <c r="O348" i="1"/>
  <c r="O14" i="1"/>
  <c r="O328" i="1"/>
  <c r="O38" i="1"/>
  <c r="O267" i="1"/>
  <c r="O135" i="1"/>
  <c r="O29" i="1"/>
  <c r="O163" i="1"/>
  <c r="O5" i="1"/>
  <c r="O329" i="1"/>
  <c r="O12" i="1"/>
  <c r="O28" i="1"/>
  <c r="O32" i="1"/>
  <c r="O20" i="1"/>
  <c r="O306" i="1"/>
  <c r="O139" i="1"/>
  <c r="O23" i="1"/>
  <c r="O22" i="1"/>
  <c r="O21" i="1"/>
  <c r="O43" i="1"/>
  <c r="O59" i="1"/>
  <c r="O176" i="1"/>
  <c r="O18" i="1"/>
  <c r="O17" i="1"/>
  <c r="O201" i="1"/>
  <c r="O16" i="1"/>
  <c r="O190" i="1"/>
  <c r="O44" i="1"/>
  <c r="O27" i="1"/>
  <c r="O99" i="1"/>
  <c r="O30" i="1"/>
  <c r="O53" i="1"/>
  <c r="O41" i="1"/>
  <c r="O39" i="1"/>
  <c r="O353" i="1"/>
  <c r="O143" i="1"/>
  <c r="O318" i="1"/>
  <c r="O60" i="1"/>
  <c r="O49" i="1"/>
  <c r="O55" i="1"/>
  <c r="O123" i="1"/>
  <c r="O84" i="1"/>
  <c r="O46" i="1"/>
  <c r="O33" i="1"/>
  <c r="O66" i="1"/>
  <c r="O63" i="1"/>
  <c r="O64" i="1"/>
  <c r="O76" i="1"/>
  <c r="O119" i="1"/>
  <c r="O95" i="1"/>
  <c r="O57" i="1"/>
  <c r="O61" i="1"/>
  <c r="O317" i="1"/>
  <c r="O34" i="1"/>
  <c r="O71" i="1"/>
  <c r="O82" i="1"/>
  <c r="O132" i="1"/>
  <c r="O299" i="1"/>
  <c r="O58" i="1"/>
  <c r="O72" i="1"/>
  <c r="O121" i="1"/>
  <c r="O45" i="1"/>
  <c r="O40" i="1"/>
  <c r="O341" i="1"/>
  <c r="O289" i="1"/>
  <c r="O131" i="1"/>
  <c r="O91" i="1"/>
  <c r="O89" i="1"/>
  <c r="O247" i="1"/>
  <c r="O94" i="1"/>
  <c r="O65" i="1"/>
  <c r="O104" i="1"/>
  <c r="O67" i="1"/>
  <c r="O120" i="1"/>
  <c r="O292" i="1"/>
  <c r="O69" i="1"/>
  <c r="O128" i="1"/>
  <c r="O334" i="1"/>
  <c r="O103" i="1"/>
  <c r="O100" i="1"/>
  <c r="O144" i="1"/>
  <c r="O107" i="1"/>
  <c r="O174" i="1"/>
  <c r="O90" i="1"/>
  <c r="O114" i="1"/>
  <c r="O124" i="1"/>
  <c r="O312" i="1"/>
  <c r="O78" i="1"/>
  <c r="O79" i="1"/>
  <c r="O138" i="1"/>
  <c r="O81" i="1"/>
  <c r="O216" i="1"/>
  <c r="O101" i="1"/>
  <c r="O85" i="1"/>
  <c r="O211" i="1"/>
  <c r="O83" i="1"/>
  <c r="O261" i="1"/>
  <c r="O80" i="1"/>
  <c r="O343" i="1"/>
  <c r="O125" i="1"/>
  <c r="O117" i="1"/>
  <c r="O74" i="1"/>
  <c r="O283" i="1"/>
  <c r="O102" i="1"/>
  <c r="O198" i="1"/>
  <c r="O186" i="1"/>
  <c r="O25" i="1"/>
  <c r="O150" i="1"/>
  <c r="O339" i="1"/>
  <c r="O111" i="1"/>
  <c r="O152" i="1"/>
  <c r="O96" i="1"/>
  <c r="O217" i="1"/>
  <c r="O115" i="1"/>
  <c r="O112" i="1"/>
  <c r="O142" i="1"/>
  <c r="O373" i="1"/>
  <c r="O118" i="1"/>
  <c r="O148" i="1"/>
  <c r="O340" i="1"/>
  <c r="O304" i="1"/>
  <c r="O192" i="1"/>
  <c r="O158" i="1"/>
  <c r="O236" i="1"/>
  <c r="O166" i="1"/>
  <c r="O77" i="1"/>
  <c r="O109" i="1"/>
  <c r="O73" i="1"/>
  <c r="O134" i="1"/>
  <c r="O214" i="1"/>
  <c r="O86" i="1"/>
  <c r="O105" i="1"/>
  <c r="O151" i="1"/>
  <c r="O222" i="1"/>
  <c r="O223" i="1"/>
  <c r="O187" i="1"/>
  <c r="O207" i="1"/>
  <c r="O177" i="1"/>
  <c r="O92" i="1"/>
  <c r="O149" i="1"/>
  <c r="O52" i="1"/>
  <c r="O147" i="1"/>
  <c r="O106" i="1"/>
  <c r="O200" i="1"/>
  <c r="O171" i="1"/>
  <c r="O140" i="1"/>
  <c r="O110" i="1"/>
  <c r="O48" i="1"/>
  <c r="O156" i="1"/>
  <c r="O129" i="1"/>
  <c r="O31" i="1"/>
  <c r="O98" i="1"/>
  <c r="O47" i="1"/>
  <c r="O26" i="1"/>
  <c r="O178" i="1"/>
  <c r="O164" i="1"/>
  <c r="O145" i="1"/>
  <c r="O113" i="1"/>
  <c r="O193" i="1"/>
  <c r="O305" i="1"/>
  <c r="O108" i="1"/>
  <c r="O141" i="1"/>
  <c r="O183" i="1"/>
  <c r="O172" i="1"/>
  <c r="O239" i="1"/>
  <c r="O167" i="1"/>
  <c r="O242" i="1"/>
  <c r="O19" i="1"/>
  <c r="O238" i="1"/>
  <c r="O272" i="1"/>
  <c r="O169" i="1"/>
  <c r="O185" i="1"/>
  <c r="O168" i="1"/>
  <c r="O188" i="1"/>
  <c r="O197" i="1"/>
  <c r="O195" i="1"/>
  <c r="O180" i="1"/>
  <c r="O194" i="1"/>
  <c r="O175" i="1"/>
  <c r="O154" i="1"/>
  <c r="O181" i="1"/>
  <c r="O24" i="1"/>
  <c r="O173" i="1"/>
  <c r="O252" i="1"/>
  <c r="O153" i="1"/>
  <c r="O228" i="1"/>
  <c r="O215" i="1"/>
  <c r="O234" i="1"/>
  <c r="O136" i="1"/>
  <c r="O87" i="1"/>
  <c r="O286" i="1"/>
  <c r="O257" i="1"/>
  <c r="O11" i="1"/>
  <c r="O202" i="1"/>
  <c r="O191" i="1"/>
  <c r="O251" i="1"/>
  <c r="O93" i="1"/>
  <c r="O162" i="1"/>
  <c r="O212" i="1"/>
  <c r="O116" i="1"/>
  <c r="O182" i="1"/>
  <c r="O137" i="1"/>
  <c r="O248" i="1"/>
  <c r="O294" i="1"/>
  <c r="O165" i="1"/>
  <c r="O313" i="1"/>
  <c r="O254" i="1"/>
  <c r="O244" i="1"/>
  <c r="O179" i="1"/>
  <c r="O204" i="1"/>
  <c r="O224" i="1"/>
  <c r="O226" i="1"/>
  <c r="O235" i="1"/>
  <c r="O220" i="1"/>
  <c r="O225" i="1"/>
  <c r="O208" i="1"/>
  <c r="O219" i="1"/>
  <c r="O241" i="1"/>
  <c r="O246" i="1"/>
  <c r="O280" i="1"/>
  <c r="O210" i="1"/>
  <c r="O9" i="1"/>
  <c r="O196" i="1"/>
  <c r="O276" i="1"/>
  <c r="O297" i="1"/>
  <c r="O298" i="1"/>
  <c r="O275" i="1"/>
  <c r="O273" i="1"/>
  <c r="O268" i="1"/>
  <c r="O159" i="1"/>
  <c r="O262" i="1"/>
  <c r="O253" i="1"/>
  <c r="O265" i="1"/>
  <c r="O233" i="1"/>
  <c r="O88" i="1"/>
  <c r="O199" i="1"/>
  <c r="O189" i="1"/>
  <c r="O291" i="1"/>
  <c r="O6" i="1"/>
  <c r="O203" i="1"/>
  <c r="O259" i="1"/>
  <c r="O161" i="1"/>
  <c r="O278" i="1"/>
  <c r="O231" i="1"/>
  <c r="O249" i="1"/>
  <c r="O146" i="1"/>
  <c r="O205" i="1"/>
  <c r="O281" i="1"/>
  <c r="O237" i="1"/>
  <c r="O130" i="1"/>
  <c r="O270" i="1"/>
  <c r="O70" i="1"/>
  <c r="O218" i="1"/>
  <c r="O184" i="1"/>
  <c r="O269" i="1"/>
  <c r="O250" i="1"/>
  <c r="O133" i="1"/>
  <c r="O160" i="1"/>
  <c r="O221" i="1"/>
  <c r="O155" i="1"/>
  <c r="O282" i="1"/>
  <c r="O271" i="1"/>
  <c r="O279" i="1"/>
  <c r="O293" i="1"/>
  <c r="O266" i="1"/>
  <c r="O206" i="1"/>
  <c r="O311" i="1"/>
  <c r="O331" i="1"/>
  <c r="O232" i="1"/>
  <c r="O337" i="1"/>
  <c r="O8" i="1"/>
  <c r="O256" i="1"/>
  <c r="O240" i="1"/>
  <c r="O213" i="1"/>
  <c r="O310" i="1"/>
  <c r="O4" i="1"/>
  <c r="O288" i="1"/>
  <c r="O314" i="1"/>
  <c r="O274" i="1"/>
  <c r="O277" i="1"/>
  <c r="O263" i="1"/>
  <c r="O2" i="1"/>
  <c r="O75" i="1"/>
  <c r="O295" i="1"/>
  <c r="O230" i="1"/>
  <c r="O285" i="1"/>
  <c r="O255" i="1"/>
  <c r="O227" i="1"/>
  <c r="O342" i="1"/>
  <c r="O157" i="1"/>
  <c r="O325" i="1"/>
  <c r="O290" i="1"/>
  <c r="O308" i="1"/>
  <c r="O229" i="1"/>
  <c r="O62" i="1"/>
  <c r="O319" i="1"/>
  <c r="O264" i="1"/>
  <c r="O296" i="1"/>
  <c r="O287" i="1"/>
  <c r="O243" i="1"/>
  <c r="O303" i="1"/>
  <c r="O316" i="1"/>
  <c r="O361" i="1"/>
  <c r="O36" i="1"/>
  <c r="O352" i="1"/>
  <c r="O35" i="1"/>
  <c r="O332" i="1"/>
  <c r="O54" i="1"/>
  <c r="O320" i="1"/>
  <c r="O338" i="1"/>
  <c r="O307" i="1"/>
  <c r="O323" i="1"/>
  <c r="O330" i="1"/>
  <c r="O327" i="1"/>
  <c r="O345" i="1"/>
  <c r="O122" i="1"/>
  <c r="O326" i="1"/>
  <c r="O300" i="1"/>
  <c r="O97" i="1"/>
  <c r="O42" i="1"/>
  <c r="O301" i="1"/>
  <c r="O56" i="1"/>
  <c r="O351" i="1"/>
  <c r="O51" i="1"/>
  <c r="O322" i="1"/>
  <c r="O126" i="1"/>
  <c r="O362" i="1"/>
  <c r="O324" i="1"/>
  <c r="O209" i="1"/>
  <c r="O37" i="1"/>
  <c r="O335" i="1"/>
  <c r="O333" i="1"/>
  <c r="O50" i="1"/>
  <c r="O360" i="1"/>
  <c r="O355" i="1"/>
  <c r="O336" i="1"/>
  <c r="O127" i="1"/>
  <c r="O359" i="1"/>
  <c r="O302" i="1"/>
  <c r="O350" i="1"/>
  <c r="O258" i="1"/>
  <c r="O13" i="1"/>
  <c r="O315" i="1"/>
  <c r="O347" i="1"/>
  <c r="O349" i="1"/>
  <c r="O356" i="1"/>
  <c r="O344" i="1"/>
  <c r="O357" i="1"/>
  <c r="O354" i="1"/>
  <c r="O346" i="1"/>
  <c r="O321" i="1"/>
  <c r="O358" i="1"/>
  <c r="O367" i="1"/>
  <c r="O363" i="1"/>
  <c r="O365" i="1"/>
  <c r="O364" i="1"/>
  <c r="O368" i="1"/>
  <c r="O366" i="1"/>
  <c r="O369" i="1"/>
  <c r="O371" i="1"/>
  <c r="O370" i="1"/>
  <c r="O374" i="1"/>
  <c r="O375" i="1"/>
  <c r="O376" i="1"/>
  <c r="O377" i="1"/>
  <c r="O378" i="1"/>
  <c r="O379" i="1"/>
  <c r="O380" i="1"/>
  <c r="O381" i="1"/>
</calcChain>
</file>

<file path=xl/sharedStrings.xml><?xml version="1.0" encoding="utf-8"?>
<sst xmlns="http://schemas.openxmlformats.org/spreadsheetml/2006/main" count="2401" uniqueCount="828">
  <si>
    <t>Store Code</t>
  </si>
  <si>
    <t>Supervisor</t>
  </si>
  <si>
    <t>Category</t>
  </si>
  <si>
    <t>Turnaround</t>
  </si>
  <si>
    <t>صيدلية ليمون 02</t>
  </si>
  <si>
    <t>LEMON-02</t>
  </si>
  <si>
    <t>KHASHBA</t>
  </si>
  <si>
    <t>Street</t>
  </si>
  <si>
    <t>صيدلية ليمون 03</t>
  </si>
  <si>
    <t>LEMON-03</t>
  </si>
  <si>
    <t>AHOUD</t>
  </si>
  <si>
    <t>صيدلية ليمون 04</t>
  </si>
  <si>
    <t>LEMON-04</t>
  </si>
  <si>
    <t>ABDUL MAJEED</t>
  </si>
  <si>
    <t>صيدلية ليمون 05</t>
  </si>
  <si>
    <t>LEMON-05</t>
  </si>
  <si>
    <t>صيدلية ليمون 06</t>
  </si>
  <si>
    <t>LEMON-06</t>
  </si>
  <si>
    <t>صيدلية ليمون 07</t>
  </si>
  <si>
    <t>LEMON-07</t>
  </si>
  <si>
    <t>صيدلية ليمون 08</t>
  </si>
  <si>
    <t>LEMON-08</t>
  </si>
  <si>
    <t>صيدلية ليمون 09</t>
  </si>
  <si>
    <t>LEMON-09</t>
  </si>
  <si>
    <t>صيدلية ليمون 10</t>
  </si>
  <si>
    <t>LEMON-10</t>
  </si>
  <si>
    <t>صيدلية ليمون 11</t>
  </si>
  <si>
    <t>LEMON-11</t>
  </si>
  <si>
    <t>ABDULLAH</t>
  </si>
  <si>
    <t>MUSTAFA</t>
  </si>
  <si>
    <t>صيدلية ليمون 12</t>
  </si>
  <si>
    <t>LEMON-12</t>
  </si>
  <si>
    <t>صيدلية ليمون 13</t>
  </si>
  <si>
    <t>LEMON-13</t>
  </si>
  <si>
    <t>صيدلية ليمون 14</t>
  </si>
  <si>
    <t>LEMON-14</t>
  </si>
  <si>
    <t>صيدلية ليمون 15</t>
  </si>
  <si>
    <t>LEMON-15</t>
  </si>
  <si>
    <t>صيدلية ليمون 16</t>
  </si>
  <si>
    <t>LEMON-16</t>
  </si>
  <si>
    <t>صيدلية ليمون 17</t>
  </si>
  <si>
    <t>LEMON-17</t>
  </si>
  <si>
    <t>صيدلية ليمون 18</t>
  </si>
  <si>
    <t>LEMON-18</t>
  </si>
  <si>
    <t>صيدلية ليمون 20</t>
  </si>
  <si>
    <t>LEMON-20</t>
  </si>
  <si>
    <t>صيدلية ليمون 21</t>
  </si>
  <si>
    <t>LEMON-21</t>
  </si>
  <si>
    <t>صيدلية ليمون 24</t>
  </si>
  <si>
    <t>LEMON-24</t>
  </si>
  <si>
    <t>صيدلية ليمون 25</t>
  </si>
  <si>
    <t>LEMON-25</t>
  </si>
  <si>
    <t>صيدلية ليمون 26</t>
  </si>
  <si>
    <t>LEMON-26</t>
  </si>
  <si>
    <t>صيدلية ليمون 28</t>
  </si>
  <si>
    <t>LEMON-28</t>
  </si>
  <si>
    <t>صيدلية ليمون 29</t>
  </si>
  <si>
    <t>LEMON-29</t>
  </si>
  <si>
    <t>صيدلية الحياة30</t>
  </si>
  <si>
    <t>LEMON-30</t>
  </si>
  <si>
    <t>صيدلية ليمون 135 بيوتي كلينكس</t>
  </si>
  <si>
    <t>LEMON 135 BEAUTY CLINIC</t>
  </si>
  <si>
    <t>صيدلية ليمون 23 إيفا</t>
  </si>
  <si>
    <t>LEMON 23 EVA</t>
  </si>
  <si>
    <t>صيدلية ليمون 19 السليمانية</t>
  </si>
  <si>
    <t>Lemon 19 Sulaymaniyah</t>
  </si>
  <si>
    <t>صيدلية ليمون 32 النظيم</t>
  </si>
  <si>
    <t>Lemon 32 Alnazim</t>
  </si>
  <si>
    <t>صيدلية ليمون 93 اليرموك رقم 1</t>
  </si>
  <si>
    <t>Lemon 93 Yarmouk no-1</t>
  </si>
  <si>
    <t>Lemon 100 Alnakheel Mall Riyadh</t>
  </si>
  <si>
    <t>Lemon 35 Om Alhamam</t>
  </si>
  <si>
    <t>ليمون 39 حي طويق</t>
  </si>
  <si>
    <t>Lemon 39 Tuwaiq</t>
  </si>
  <si>
    <t>ليمون 59 الحزيمي 01</t>
  </si>
  <si>
    <t>Lemon 59 -HOZAIMI-01</t>
  </si>
  <si>
    <t>ليمون 60 الحزيمي 02</t>
  </si>
  <si>
    <t>Lemon 60 -HOZAIMI-02</t>
  </si>
  <si>
    <t>Lemon 33</t>
  </si>
  <si>
    <t>TAREK</t>
  </si>
  <si>
    <t>صيدلية ليمون 34</t>
  </si>
  <si>
    <t>LEMON-34</t>
  </si>
  <si>
    <t>Lemon 36 Hafr Al-Batin</t>
  </si>
  <si>
    <t>KHALED</t>
  </si>
  <si>
    <t>Lemon 37</t>
  </si>
  <si>
    <t>صيدلية ليمون 38</t>
  </si>
  <si>
    <t>Lemon 38</t>
  </si>
  <si>
    <t>Lemon 40</t>
  </si>
  <si>
    <t>صيدلية ليمون 41</t>
  </si>
  <si>
    <t>LEMON-41</t>
  </si>
  <si>
    <t>صيدلية ليمون 42</t>
  </si>
  <si>
    <t>LEMON-42</t>
  </si>
  <si>
    <t>صيدلية ليمون 44</t>
  </si>
  <si>
    <t>Lemon 44 Hafr Al- Batin</t>
  </si>
  <si>
    <t>Lemon 45</t>
  </si>
  <si>
    <t>صيدلية ليمون 49</t>
  </si>
  <si>
    <t>LEMON-49</t>
  </si>
  <si>
    <t>Lemon 50</t>
  </si>
  <si>
    <t>صيدلية ليمون 51</t>
  </si>
  <si>
    <t>LEMON-51</t>
  </si>
  <si>
    <t>صيدلية ليمون 52</t>
  </si>
  <si>
    <t>LEMON-52</t>
  </si>
  <si>
    <t>صيدلية ليمون 53 عكاظ</t>
  </si>
  <si>
    <t>LEMON-53  Uqadh</t>
  </si>
  <si>
    <t>صيدلية ليمون 55</t>
  </si>
  <si>
    <t>LEMON-55</t>
  </si>
  <si>
    <t>صيدلية ليمون 58</t>
  </si>
  <si>
    <t>LEMON-58</t>
  </si>
  <si>
    <t>صيدلية ليمون ابن الحكيم</t>
  </si>
  <si>
    <t>LEMON  IBN AL-HAKEEM</t>
  </si>
  <si>
    <t>ليمون اشراق الاولي</t>
  </si>
  <si>
    <t>LEMON ESHRAQ-01</t>
  </si>
  <si>
    <t>ليمون 61 النهضة</t>
  </si>
  <si>
    <t>LEMON-61</t>
  </si>
  <si>
    <t>ليمون 62 الغدير</t>
  </si>
  <si>
    <t>LEMON-62</t>
  </si>
  <si>
    <t>ليمون 63 ابن حزم</t>
  </si>
  <si>
    <t>LEMON-63</t>
  </si>
  <si>
    <t>ليمون 64 طنجة</t>
  </si>
  <si>
    <t>LEMON-64</t>
  </si>
  <si>
    <t>ليمون 65 الدرعية</t>
  </si>
  <si>
    <t>LEMON-65</t>
  </si>
  <si>
    <t>ليمون 66 جاكس</t>
  </si>
  <si>
    <t>LEMON-66</t>
  </si>
  <si>
    <t>ليمون 67 العيينة</t>
  </si>
  <si>
    <t>LEMON-67</t>
  </si>
  <si>
    <t>ليمون الازهار</t>
  </si>
  <si>
    <t>LEMON AL AZHAR</t>
  </si>
  <si>
    <t>REFAAT</t>
  </si>
  <si>
    <t>Polyclinic</t>
  </si>
  <si>
    <t>صيدلية ليمون 92 الزجزاج</t>
  </si>
  <si>
    <t>Lemon 92 -Zahrit  ( 2 )</t>
  </si>
  <si>
    <t>LEMON 94 Zahrit ( 4 )</t>
  </si>
  <si>
    <t>Zahrit ( 5 ) lemon 95</t>
  </si>
  <si>
    <t>Lemon-97 Al-Qassim</t>
  </si>
  <si>
    <t>صيدلية ليمون 99</t>
  </si>
  <si>
    <t>Lemon -99 Al-Qassim</t>
  </si>
  <si>
    <t>ليمون صحة 6</t>
  </si>
  <si>
    <t>LEMON SEHA-06</t>
  </si>
  <si>
    <t>ليمون 117 صحة 10</t>
  </si>
  <si>
    <t>LEMON 117 SEHA-10</t>
  </si>
  <si>
    <t>ليمون صحة 14</t>
  </si>
  <si>
    <t>LEMON SEHA-14</t>
  </si>
  <si>
    <t>ليمون صحة 15 ( 17 سابقا)</t>
  </si>
  <si>
    <t>LEMON SEHA- 15 ( Old 17)</t>
  </si>
  <si>
    <t>ليمون صحة 18</t>
  </si>
  <si>
    <t>LEMON SEHA-18</t>
  </si>
  <si>
    <t>ليمون روضة الشفا</t>
  </si>
  <si>
    <t>LEMON RAWDA EL SHIFA</t>
  </si>
  <si>
    <t>LEMON  31 FARABI-01</t>
  </si>
  <si>
    <t>JAZAR</t>
  </si>
  <si>
    <t>LEMON 43 FARABI-02</t>
  </si>
  <si>
    <t>ليمون 46 رابية طريق الخرج</t>
  </si>
  <si>
    <t>LEMON 46 RABIYA</t>
  </si>
  <si>
    <t>ليمون 47 الحبيب النخيل</t>
  </si>
  <si>
    <t>LEMON 47 HABIB NAKHEEL</t>
  </si>
  <si>
    <t>ليمون عوافي 1</t>
  </si>
  <si>
    <t>LEMON  AWAFY-01</t>
  </si>
  <si>
    <t>OSAMA</t>
  </si>
  <si>
    <t>ليمون عوافي 2</t>
  </si>
  <si>
    <t>LEMON  AWAFY-02</t>
  </si>
  <si>
    <t>ليمون عوافي 3</t>
  </si>
  <si>
    <t>LEMON AWAFY-03</t>
  </si>
  <si>
    <t>ليمون 96 عوافي 4</t>
  </si>
  <si>
    <t>LEMON 96 AWAFY-04</t>
  </si>
  <si>
    <t>ليمون عوافي 5</t>
  </si>
  <si>
    <t>LEMON AWAFY-05</t>
  </si>
  <si>
    <t>ليمون 342 عوافي 6</t>
  </si>
  <si>
    <t>LEMON 342 AWAFY-06</t>
  </si>
  <si>
    <t>ليمون عوافي 7</t>
  </si>
  <si>
    <t>LEMON AWAFY-07</t>
  </si>
  <si>
    <t>ليمون عوافي 8</t>
  </si>
  <si>
    <t>LEMON AWAFY-08</t>
  </si>
  <si>
    <t>ليمون عوافي 9</t>
  </si>
  <si>
    <t>LEMON AWAFY-09</t>
  </si>
  <si>
    <t>ليمون عوافي 10</t>
  </si>
  <si>
    <t>LEMON AWAFY-10</t>
  </si>
  <si>
    <t>ليمون عوافي 11</t>
  </si>
  <si>
    <t>LEMON AWAFY-11</t>
  </si>
  <si>
    <t>ليمون عوافي 12</t>
  </si>
  <si>
    <t>LEMON AWAFY-12</t>
  </si>
  <si>
    <t>ليمون عوافي 14</t>
  </si>
  <si>
    <t>LEMON AWAFY-14</t>
  </si>
  <si>
    <t>ليمون 347 الخزان بيشة</t>
  </si>
  <si>
    <t>ليمون 116 وصفات الصحة للادوية</t>
  </si>
  <si>
    <t>Lemon 116 Wasifat Al Seha</t>
  </si>
  <si>
    <t>OSAMA KH</t>
  </si>
  <si>
    <t>ليمون 73 سوان</t>
  </si>
  <si>
    <t>Lemon 73 Swan</t>
  </si>
  <si>
    <t>ليمون مستوصف الموعد</t>
  </si>
  <si>
    <t>Lemon Al Mawaeid</t>
  </si>
  <si>
    <t>صيدلية ليمون دواء العاصمة</t>
  </si>
  <si>
    <t>Lemon Dawa Al Asema</t>
  </si>
  <si>
    <t>ليمون 109 مستوصف علاج الرياض</t>
  </si>
  <si>
    <t>Lemon 109 Elag al Riyadh</t>
  </si>
  <si>
    <t>ليمون 22 الفيروز الشفا</t>
  </si>
  <si>
    <t>Lemon 22 Fayrouz Shifa</t>
  </si>
  <si>
    <t>ليمون 106 مجمع هاو حي المروج</t>
  </si>
  <si>
    <t>Lemon 106 -How Muruj Clinc</t>
  </si>
  <si>
    <t>ليمون 101 مجمع هاو حي النسيم</t>
  </si>
  <si>
    <t>Lemon 101 -How Nasim Clinc</t>
  </si>
  <si>
    <t>ليمون 56 اليرموك 2</t>
  </si>
  <si>
    <t>Lemon 56 Yarmouk -02</t>
  </si>
  <si>
    <t>ليمون 119 ط عثمان</t>
  </si>
  <si>
    <t>Lemon 119 Othman Bin Afan</t>
  </si>
  <si>
    <t>ليمون 105 اشبيليا كمبوند رقم 2</t>
  </si>
  <si>
    <t>Lemon 105 Ashbelia NO-2 Compaund</t>
  </si>
  <si>
    <t>Lemon 107 Bilal Bin Rabah</t>
  </si>
  <si>
    <t>ليمون 108 مستوصف معا</t>
  </si>
  <si>
    <t>Lemon 108 Maan Medical</t>
  </si>
  <si>
    <t>WALEED</t>
  </si>
  <si>
    <t>ليمون 114 مستوصف حطين</t>
  </si>
  <si>
    <t>Lemon 114 Hetteen Medical</t>
  </si>
  <si>
    <t>ليمون 113 اشبيليا رقم 1 الحسين بن علي</t>
  </si>
  <si>
    <t>Lemon  113 Ashbelia No-1</t>
  </si>
  <si>
    <t>ليمون 112</t>
  </si>
  <si>
    <t>Lemon 112</t>
  </si>
  <si>
    <t>ليمون 121 لبن</t>
  </si>
  <si>
    <t>Lemon 121 Laban</t>
  </si>
  <si>
    <t>ليمون 134 ادمه</t>
  </si>
  <si>
    <t>Lemon 134 Adama</t>
  </si>
  <si>
    <t>ليمون 130 ريفلكت</t>
  </si>
  <si>
    <t>Lemon 130 Reflect</t>
  </si>
  <si>
    <t>ليمون 70 نبض الياسمين</t>
  </si>
  <si>
    <t>Lemon 70 Nabd-Alyasmeen</t>
  </si>
  <si>
    <t>ليمون 133 القدس</t>
  </si>
  <si>
    <t>Lemon 133 - Al Quds</t>
  </si>
  <si>
    <t>ليمون 132 الغروب</t>
  </si>
  <si>
    <t>Lemon 132 -AL-Ghoroub</t>
  </si>
  <si>
    <t>ليمون 149 الماسي</t>
  </si>
  <si>
    <t>Lemon 149 -AL-Almasi 2</t>
  </si>
  <si>
    <t>ليمون 148 بيرل حي الاذدهار</t>
  </si>
  <si>
    <t>Lemon 148 - Pearl</t>
  </si>
  <si>
    <t>ليمون رقم 1 حي المعالي</t>
  </si>
  <si>
    <t>Lemon No1- Al-Maali</t>
  </si>
  <si>
    <t>ليمون رقم 142 حي المؤنسية 2</t>
  </si>
  <si>
    <t>Lemon-  No 142 Al-Monsia_02</t>
  </si>
  <si>
    <t>ليمون 137 ادراك الرياض</t>
  </si>
  <si>
    <t>Lemon- 137  Edrak Riyadh</t>
  </si>
  <si>
    <t>ليمون 27 دنت</t>
  </si>
  <si>
    <t>Lemon 27 Dent Clinic</t>
  </si>
  <si>
    <t>ليمون 143 - المهديه 2</t>
  </si>
  <si>
    <t>Lemon 143 - Al Mahdiyah 2</t>
  </si>
  <si>
    <t>ليمون 178 - المصيف</t>
  </si>
  <si>
    <t>Lemon 178 -  Al Masyaf</t>
  </si>
  <si>
    <t>MOHSEN</t>
  </si>
  <si>
    <t>ليمون 156- القويعيه</t>
  </si>
  <si>
    <t>Lemon 156 - Al Quwaiiyah</t>
  </si>
  <si>
    <t>ليمون 131 - المهديه 1</t>
  </si>
  <si>
    <t>Lemon 131 - Al Mahdiyah 1</t>
  </si>
  <si>
    <t>ليمون 164 - البيروني</t>
  </si>
  <si>
    <t>Lemon 164 - Biruni</t>
  </si>
  <si>
    <t>ليمون 165 - عناية و نضارة</t>
  </si>
  <si>
    <t>Lemon 165 - Enaya &amp; Nadara</t>
  </si>
  <si>
    <t>ليمون 160 - العارض 2</t>
  </si>
  <si>
    <t>Lemon 160 - Al Ared 2</t>
  </si>
  <si>
    <t>ليمون 176 - جابر الصباح</t>
  </si>
  <si>
    <t>Lemon 176 - Jaber Sabah</t>
  </si>
  <si>
    <t>ليمون 198 الزلال - الملك عبد الله</t>
  </si>
  <si>
    <t>Lemon 198 Alzallal - King Abdullah</t>
  </si>
  <si>
    <t>ليمون 204 الزلال - البديعة</t>
  </si>
  <si>
    <t>Lemon 204 Alzallal - Al Badiah</t>
  </si>
  <si>
    <t>ليمون 205 الزلال - شارع التحلية</t>
  </si>
  <si>
    <t>Lemon 205 Alzallal - Al Tahliah St</t>
  </si>
  <si>
    <t>ليمون 189 - طويق 3</t>
  </si>
  <si>
    <t>Lemon 189 - Twaiq 3</t>
  </si>
  <si>
    <t>ليمون 188 - تنال</t>
  </si>
  <si>
    <t>Lemon 188 - Tanal</t>
  </si>
  <si>
    <t>ليمون 166 - النرجس 1</t>
  </si>
  <si>
    <t>Lemon 166 - Al Narjis 1</t>
  </si>
  <si>
    <t>ليمون 225 - مجمع الغد</t>
  </si>
  <si>
    <t>Lemon - 225 Al Ghad  Polyclini</t>
  </si>
  <si>
    <t>ليمون 214 - الافلاج</t>
  </si>
  <si>
    <t>Lemon - 214 Al Aflaj</t>
  </si>
  <si>
    <t>ليمون 213 - الداودمي</t>
  </si>
  <si>
    <t>Lemon - 213 Al Duwadimi</t>
  </si>
  <si>
    <t>ليمون 190 - اليرموك 3</t>
  </si>
  <si>
    <t>Lemon 190 - Al Yarmook 3</t>
  </si>
  <si>
    <t>ليمون 227 - اشبيليه 3</t>
  </si>
  <si>
    <t>Lemon 227 - Ishbiliyah 3</t>
  </si>
  <si>
    <t>ليمون 233 - الواحة الدوادمي</t>
  </si>
  <si>
    <t>Lemon 233 - Al Waha Al Duwadimi</t>
  </si>
  <si>
    <t>ليمون 224 - النرجس 2</t>
  </si>
  <si>
    <t>Lemon 224 - Al Narjis 2</t>
  </si>
  <si>
    <t>ليمون 238 - العارض 3</t>
  </si>
  <si>
    <t>Lemon 238 - Al Ared 3</t>
  </si>
  <si>
    <t>ليمون 242 - مجمع سيف الطبي</t>
  </si>
  <si>
    <t>Lemon 242 - Saif Polyclinic</t>
  </si>
  <si>
    <t>ليمون 231 - مجمع هيلث الطبي</t>
  </si>
  <si>
    <t>Lemon 231 - Health Polyclinic</t>
  </si>
  <si>
    <t>ليمون 243 - مجمع مداي الشفا</t>
  </si>
  <si>
    <t>Lemon 243 - Madai Shifa Polyclinic</t>
  </si>
  <si>
    <t>ليمون 261 - مجمع الرياض الطبي</t>
  </si>
  <si>
    <t>Lemon 261 - AL Riyadh Medical Center</t>
  </si>
  <si>
    <t>ليمون شعاع 1 - الورود</t>
  </si>
  <si>
    <t>Lemon Shoaa 1 - Al Wurud</t>
  </si>
  <si>
    <t>ليمون - شعاع 2 الروضة</t>
  </si>
  <si>
    <t>Lemon - Shoaa 2 Al Rawda</t>
  </si>
  <si>
    <t>ليمون - عتيقة 2</t>
  </si>
  <si>
    <t>Lemon - Utiaqah 2</t>
  </si>
  <si>
    <t>ليمون - الوطن 2 الروابي</t>
  </si>
  <si>
    <t>Lemon - Watan 2  Al Rwaby</t>
  </si>
  <si>
    <t>ليمون - الوطن 3 الربوة</t>
  </si>
  <si>
    <t>Lemon - Watan 3 Al Rabwa</t>
  </si>
  <si>
    <t>ليمون - الوطن 4 الشفا</t>
  </si>
  <si>
    <t>Lemon - Watan 4 Al Shifa</t>
  </si>
  <si>
    <t>ليمون - عتيقة 1</t>
  </si>
  <si>
    <t>Lemon - Utiaqah 1</t>
  </si>
  <si>
    <t>ليمون 264 - مطار الرياض 1</t>
  </si>
  <si>
    <t>Lemon 264 - Riyadh Airport 1</t>
  </si>
  <si>
    <t>ليمون 280 - مجمع الحياة الفيحاء</t>
  </si>
  <si>
    <t>Lemon 280 - Hayat Polyclinic Fayhaa</t>
  </si>
  <si>
    <t>ليمون 265 - مجمع الحياة النفل</t>
  </si>
  <si>
    <t>Lemon 265 - Hayat Polyclinic Nafl</t>
  </si>
  <si>
    <t>ليمون 271 - الجزيرة</t>
  </si>
  <si>
    <t>ليمون 274 - العارض 4</t>
  </si>
  <si>
    <t>Lemon 274 - Al Ared 4</t>
  </si>
  <si>
    <t>ليمون 203 - مجمع الحياة اشبيليه</t>
  </si>
  <si>
    <t>Lemon 203 - Hayat Polyclinic Ashbelia</t>
  </si>
  <si>
    <t>ليمون 266 - الحياة الرمال</t>
  </si>
  <si>
    <t>Lemon 266 - Hayat  Remal</t>
  </si>
  <si>
    <t>ليمون 253 - طويق 4</t>
  </si>
  <si>
    <t>Lemon 253 - Twaiq 4</t>
  </si>
  <si>
    <t>ليمون 277 - ابو هريرة</t>
  </si>
  <si>
    <t>Lemon 277 - Abu Hurayra</t>
  </si>
  <si>
    <t>ليمون 278 - الحياة النظيم</t>
  </si>
  <si>
    <t>Lemon 278 - Hayat  Nazim</t>
  </si>
  <si>
    <t>ليمون 281 - الحياة قرطبة</t>
  </si>
  <si>
    <t>Lemon 281 - Hayat  Qurtubah</t>
  </si>
  <si>
    <t>ليمون 288 - الرمال</t>
  </si>
  <si>
    <t>Lemon 288 - Remal</t>
  </si>
  <si>
    <t>ليمون 314 - طويق 5</t>
  </si>
  <si>
    <t>Lemon 314 - Twaiq  5</t>
  </si>
  <si>
    <t>ليمون - اوكسي هيلث</t>
  </si>
  <si>
    <t>Lemon - Oxy Health</t>
  </si>
  <si>
    <t>ليمون 341 - السلام العثيم</t>
  </si>
  <si>
    <t>ليمون 276 - مطار الرياض 2</t>
  </si>
  <si>
    <t>Lemon 276 - Riyadh Airport 2</t>
  </si>
  <si>
    <t>ليمون 344 - مجمع الحياة مدن</t>
  </si>
  <si>
    <t>ليمون 368 - مجمع العليا الطبي</t>
  </si>
  <si>
    <t>ليمون 110 الخليج مول</t>
  </si>
  <si>
    <t>Lemon 110 AL-khalij Mall</t>
  </si>
  <si>
    <t>ليمون 129 مجمع الشبلان الطبي</t>
  </si>
  <si>
    <t>Lemon 129 Al- Shablan Medical Complex</t>
  </si>
  <si>
    <t>ليمون 151 - الخرج 2</t>
  </si>
  <si>
    <t>Lemon 151 - Al Khrj 2</t>
  </si>
  <si>
    <t>ليمون 221 - الهياثم الخرج</t>
  </si>
  <si>
    <t>Lemon 221 - Al Hayathem Al Kharj</t>
  </si>
  <si>
    <t>ليمون 275 - الورود الخرج</t>
  </si>
  <si>
    <t>Lemon 275 - Al Wurud Kharj</t>
  </si>
  <si>
    <t>ليمون 300 - السحاب الخرج</t>
  </si>
  <si>
    <t>Lemon 300 - Sehab Al Kharj</t>
  </si>
  <si>
    <t>ليمون 306 - النهضة بريدة</t>
  </si>
  <si>
    <t>Lemon 306 - Al Nahda Burayda</t>
  </si>
  <si>
    <t>ليمون 150 - البيكرية</t>
  </si>
  <si>
    <t>Lemon 150 - Al Bukayriyah</t>
  </si>
  <si>
    <t>ليمون 138 م ادراك بريدة</t>
  </si>
  <si>
    <t>Lemon 138 - E Edrak Buraydah</t>
  </si>
  <si>
    <t>ليمون حي الفايزية رقم 139</t>
  </si>
  <si>
    <t>Lemon 139 - Al Fayziyyah</t>
  </si>
  <si>
    <t>ليمون 75 البساتين بريدة</t>
  </si>
  <si>
    <t>Lemon 75 Basatin</t>
  </si>
  <si>
    <t>ليمون 328 بريدة الحزم</t>
  </si>
  <si>
    <t>ليمون 339 - الرفيعة بريدة</t>
  </si>
  <si>
    <t>ليمون 343 - البدائع 4 القصيم</t>
  </si>
  <si>
    <t>ليمون 348 - البدائع 5 القصيم</t>
  </si>
  <si>
    <t>ليمون 340 - الأفق القصيم</t>
  </si>
  <si>
    <t>ليمون 353 - الفلاح بريدة</t>
  </si>
  <si>
    <t>ليمون 351 - القدس القصيم</t>
  </si>
  <si>
    <t>ليمون 346 الريان عنيزة</t>
  </si>
  <si>
    <t>ليمون 140 المجمعة مستشفي الولادة</t>
  </si>
  <si>
    <t>Lemon 140 Almajama Alwelada H</t>
  </si>
  <si>
    <t>ليمون 141 المجمعة ش الحزم</t>
  </si>
  <si>
    <t>Lemon 141 Almajama Alhazm</t>
  </si>
  <si>
    <t>ليمون 193 - مجمع المجمعه</t>
  </si>
  <si>
    <t>Lemon 193 - Al Majmah Polyclinic</t>
  </si>
  <si>
    <t>ليمون 212 - المجمعه الاسكان</t>
  </si>
  <si>
    <t>Lemon 212 - Al Majmah Eskan</t>
  </si>
  <si>
    <t>ليمون - علاج سدير</t>
  </si>
  <si>
    <t>Lemon - Elaj Sudair</t>
  </si>
  <si>
    <t>ليمون 331 - فيولا المجمعة</t>
  </si>
  <si>
    <t>ليمون 284 - الزلفي</t>
  </si>
  <si>
    <t>Lemon 284 - Zulfi</t>
  </si>
  <si>
    <t>ليمون 78 الصفا جدة</t>
  </si>
  <si>
    <t>Lemon 78 Safa Jeddah</t>
  </si>
  <si>
    <t>ليمون 77 صاري جدة</t>
  </si>
  <si>
    <t>Lemon 77 Sari Jeddah</t>
  </si>
  <si>
    <t>ليمون 79 جدة حي السنابل</t>
  </si>
  <si>
    <t>Lemon 79 Jeddah Al-Sanabel</t>
  </si>
  <si>
    <t>ABDUL KHALEK</t>
  </si>
  <si>
    <t>Lemon 123 Jeddah Alrahmania</t>
  </si>
  <si>
    <t>Lemon 124 Jeddah Alsaalihia</t>
  </si>
  <si>
    <t>ليمون 136 حي الفلاح جدة</t>
  </si>
  <si>
    <t>Lemon 136 Jeddah Al-Falah</t>
  </si>
  <si>
    <t>ليمون 144 - الشراع</t>
  </si>
  <si>
    <t>Lemon 144 - Al Sheraa</t>
  </si>
  <si>
    <t>ليمون 146 - الأجاويد</t>
  </si>
  <si>
    <t>Lemon 146 - Al  Ajaweed</t>
  </si>
  <si>
    <t>ليمون 152 - الربوه جده</t>
  </si>
  <si>
    <t>Lemon 152 - Ar Rabwah Jed</t>
  </si>
  <si>
    <t>ليمون 158 - الفلاح 2</t>
  </si>
  <si>
    <t>Lemon 158 - Al Falah 2</t>
  </si>
  <si>
    <t>ليمون 173 - طيبة</t>
  </si>
  <si>
    <t>Lemon 173 - Taiba</t>
  </si>
  <si>
    <t>ليمون 174 - الياقوت</t>
  </si>
  <si>
    <t>Lemon 174 - Al Yaqoot</t>
  </si>
  <si>
    <t>ليمون 183 - جبل النور</t>
  </si>
  <si>
    <t>Lemon 183 - Jabal Al Nour</t>
  </si>
  <si>
    <t>ليمون 182 - حي ولي العهد</t>
  </si>
  <si>
    <t>Lemon 182 - Waly Al Ahd</t>
  </si>
  <si>
    <t>ليمون 175 - المنار</t>
  </si>
  <si>
    <t>Lemon 175 - Al Manar</t>
  </si>
  <si>
    <t>ليمون 195 - الشراع 2</t>
  </si>
  <si>
    <t>Lemon 195 - Al Sheraa 2</t>
  </si>
  <si>
    <t>ليمون 196 - الشراع 3</t>
  </si>
  <si>
    <t>Lemon 196 - Al Sheraa 3</t>
  </si>
  <si>
    <t>ليمون 71 - البشائر</t>
  </si>
  <si>
    <t>Lemon 71_Bashaer</t>
  </si>
  <si>
    <t>ليمون 216 - الصيانة</t>
  </si>
  <si>
    <t>Lemon 216_Al Siana</t>
  </si>
  <si>
    <t>ليمون 226 - الصالحية 2</t>
  </si>
  <si>
    <t>Lemon 226 - Al Salhya 2</t>
  </si>
  <si>
    <t>ليمون 240 ابحر الشمالية</t>
  </si>
  <si>
    <t>Lemon 240 - Obhor Shamalya</t>
  </si>
  <si>
    <t>ليمون 234 - السنابل 2</t>
  </si>
  <si>
    <t>Lemon 234 - Sanabel 2</t>
  </si>
  <si>
    <t>ليمون 244 - الصالحية 3</t>
  </si>
  <si>
    <t>Lemon 244 - Salhya 3</t>
  </si>
  <si>
    <t>ليمون 255 - العابر</t>
  </si>
  <si>
    <t>Lemon 255 - Aber</t>
  </si>
  <si>
    <t>ليمون 283 - مخطط الرياض 1</t>
  </si>
  <si>
    <t>ليمون 301 - الفضيلة جدة</t>
  </si>
  <si>
    <t>Lemon 301 - Fadeyla Jeddah</t>
  </si>
  <si>
    <t>ليمون 299 - الرحمانية 3 جدة</t>
  </si>
  <si>
    <t>Lemon 299 - Rahmanya 3 Jeddah</t>
  </si>
  <si>
    <t>ليمون 315 - سنابل 3 جدة</t>
  </si>
  <si>
    <t>ليمون 309 - أجاويد 2 جدة</t>
  </si>
  <si>
    <t>ليمون 330 - غران جدة</t>
  </si>
  <si>
    <t>ليمون 334 - الفروسية جدة</t>
  </si>
  <si>
    <t>Lemon 334 - Frosyah Jeddah</t>
  </si>
  <si>
    <t>ليمون 352 - ولي العهد 2</t>
  </si>
  <si>
    <t>ليمون 170 - النور الدمام</t>
  </si>
  <si>
    <t>Lemon 170 - Al Noor Damam</t>
  </si>
  <si>
    <t>ليمون 186 - سيهات</t>
  </si>
  <si>
    <t>Lemon 186 - Saihat</t>
  </si>
  <si>
    <t>ليمون 187 - التاسعه كلينيك</t>
  </si>
  <si>
    <t>Lemon 187 - Ninth Clinic</t>
  </si>
  <si>
    <t>ليمون 98 - سيهات 2</t>
  </si>
  <si>
    <t>Lemon 98 - Saihat 2</t>
  </si>
  <si>
    <t>ليمون 171 - السلام الدمام</t>
  </si>
  <si>
    <t>Lemon 171 - Al Salam Dammam</t>
  </si>
  <si>
    <t>ليمون 88 - العزيزية الخبر</t>
  </si>
  <si>
    <t>Lemon 88 - Aziziyah Al Khobar</t>
  </si>
  <si>
    <t>ليمون 197 - الحمراء الدمام</t>
  </si>
  <si>
    <t>Lemon 197 - Al Hamra Dammam</t>
  </si>
  <si>
    <t>ليمون 210 - الاحساء الربوة</t>
  </si>
  <si>
    <t>Lemon 210 - Al Ahsa Al Rabwa</t>
  </si>
  <si>
    <t>ليمون 211 - الاحساء التعليم</t>
  </si>
  <si>
    <t>Lemon 211 - Al Ahsa Taaleem</t>
  </si>
  <si>
    <t>ليمون 220 - المطيرفي</t>
  </si>
  <si>
    <t>Lemon 220 - Almutayrifi</t>
  </si>
  <si>
    <t>ليمون 223 - الحمراء 3</t>
  </si>
  <si>
    <t>Lemon 223 - Al Hamra 3</t>
  </si>
  <si>
    <t>Lemon 232 - Aziziyah 2 Al  Khobar</t>
  </si>
  <si>
    <t>ليمون 235 - بدر 1 الدمام</t>
  </si>
  <si>
    <t>Lemon 235 - Badr 1 Dammam</t>
  </si>
  <si>
    <t>ليمون 229 - بدر 2 الدمام</t>
  </si>
  <si>
    <t>Lemon 229 - Badr 2 Dammam</t>
  </si>
  <si>
    <t>ليمون 247 - احد الدمام</t>
  </si>
  <si>
    <t>Lemon 247 - Ohod Dammam</t>
  </si>
  <si>
    <t>ليمون 239 - الحزام الاحساء</t>
  </si>
  <si>
    <t>Lemon 239 - Hezam Ahsa</t>
  </si>
  <si>
    <t>ليمون 256 - المجيدية القطيف</t>
  </si>
  <si>
    <t>Lemon 256 -  Majedya Qatif</t>
  </si>
  <si>
    <t>ليمون 282 - مجمع الخليج الاحساء</t>
  </si>
  <si>
    <t>ليمون 294 - الثقبة الخبر</t>
  </si>
  <si>
    <t>Lemon 294 - Thuqba Khobar</t>
  </si>
  <si>
    <t>ليمون 308 - طريق الخليج</t>
  </si>
  <si>
    <t>Lemon 308 - Al Khaleej Road</t>
  </si>
  <si>
    <t>ليمون 312 - الزهراء القطيف</t>
  </si>
  <si>
    <t>Lemon 312 - Zahra Qatif</t>
  </si>
  <si>
    <t>ليمون 303 - الصواري الخبر</t>
  </si>
  <si>
    <t>ليمون 350 - الخبر الجنوبية</t>
  </si>
  <si>
    <t>ليمون 357 - المنار الدمام</t>
  </si>
  <si>
    <t>Lemon 357 - Manar Dammam</t>
  </si>
  <si>
    <t>ليمون 69 مجمع توليب</t>
  </si>
  <si>
    <t>Lemon 69 Tulip Polyclinic</t>
  </si>
  <si>
    <t>Lemon  279 - Waha Al Hafr</t>
  </si>
  <si>
    <t>ليمون 122 مجمع سوما الطبي</t>
  </si>
  <si>
    <t>Lemon 122 Soma Medical</t>
  </si>
  <si>
    <t>Lemon 147 - Al Mozvin</t>
  </si>
  <si>
    <t>SHAHRANY</t>
  </si>
  <si>
    <t>ليمون 250 - البديع أبها</t>
  </si>
  <si>
    <t>Lemon 250 - Al Badiaa Abha</t>
  </si>
  <si>
    <t>ليمون 338 - المروج أبها</t>
  </si>
  <si>
    <t>Lemon 338 - Muruj Abha</t>
  </si>
  <si>
    <t>ليمون 337 - الغدير أبها</t>
  </si>
  <si>
    <t>Lemon 337 - Ghadir Abha</t>
  </si>
  <si>
    <t>ليمون 125 مستوصف المستشاري</t>
  </si>
  <si>
    <t>Lemon 125 Al- Mustashari Clinic</t>
  </si>
  <si>
    <t>ليمون 127 مستوصف عنايتي 1</t>
  </si>
  <si>
    <t>Lemon 127 Enaya NO-1 Clinic</t>
  </si>
  <si>
    <t>ليمون 128 مستوصف عنايتي 2</t>
  </si>
  <si>
    <t>Lemon 128 Enaya NO-2 Clinic</t>
  </si>
  <si>
    <t>ليمون - مجمع برج التقدم</t>
  </si>
  <si>
    <t>Lemon - Borj Taqdom Polyclinic</t>
  </si>
  <si>
    <t>ليمون 298 - دوار الساعه بيشه</t>
  </si>
  <si>
    <t>Lemon 298 - Al Dwar Bisha</t>
  </si>
  <si>
    <t>ليمون 358 - العزيزية تثليث عوافي</t>
  </si>
  <si>
    <t>ليمون 155 - مخطط 6 جيزان</t>
  </si>
  <si>
    <t>Lemon 155 -  District 6</t>
  </si>
  <si>
    <t>SETOHY</t>
  </si>
  <si>
    <t>ليمون 85 بيش جازان</t>
  </si>
  <si>
    <t>Lemon 85 Jizan Bish</t>
  </si>
  <si>
    <t>ليمون 84 الروضة المطار جازان</t>
  </si>
  <si>
    <t>Lemon 84 Jizan Rawdah Airport Rd</t>
  </si>
  <si>
    <t>ليمون 86 الكربوس جازان</t>
  </si>
  <si>
    <t>Lemon 86 Jizan Karbous</t>
  </si>
  <si>
    <t>ليمون 83 المضاية جازان</t>
  </si>
  <si>
    <t>Lemon 83 Jizan Madhayah</t>
  </si>
  <si>
    <t>ليمون 87 الكدرة رقم 1 جازان</t>
  </si>
  <si>
    <t>Lemon 87 Jizan Kadrah-01</t>
  </si>
  <si>
    <t>ليمون 82 هايبر اماسي جازان</t>
  </si>
  <si>
    <t>Lemon 82 Jizan Hyper Amassi</t>
  </si>
  <si>
    <t>ليمون 102 الكدرة رقم 2 جازان</t>
  </si>
  <si>
    <t>Lemon 102 Jizan Kadrah-02</t>
  </si>
  <si>
    <t>ليمون 115 ريجن مول ابو عريش</t>
  </si>
  <si>
    <t>Lemon 115 Region al-Mall</t>
  </si>
  <si>
    <t>Lemon 118 Dareb</t>
  </si>
  <si>
    <t>ليمون 120 حي الحسام</t>
  </si>
  <si>
    <t>Lemon Al-Hossam 120 , Khamis Mushayath</t>
  </si>
  <si>
    <t>ليمون 157 - احد المسارحه</t>
  </si>
  <si>
    <t>Lemon 157 - Ahd Almasrha</t>
  </si>
  <si>
    <t>ليمون 159 - الضيافة</t>
  </si>
  <si>
    <t>Lemon 159 - Al Dyafah</t>
  </si>
  <si>
    <t>ليمون 153 - الشباعه</t>
  </si>
  <si>
    <t>Lemon 153 - Al Shubaah</t>
  </si>
  <si>
    <t>ليمون 154 - تندحة</t>
  </si>
  <si>
    <t>Lemon 154 - Tandaha</t>
  </si>
  <si>
    <t>ليمون 177 - الاسكان والضيافة</t>
  </si>
  <si>
    <t>Lemon 177 - Aldhyafa &amp; Eskan</t>
  </si>
  <si>
    <t>ليمون 169 - محايل العثيم</t>
  </si>
  <si>
    <t>Lemon 169 - Mohayel Othaim</t>
  </si>
  <si>
    <t>ليمون 168 - محايل الغنيم</t>
  </si>
  <si>
    <t>Lemon 168 - Mohayel Ghonaim</t>
  </si>
  <si>
    <t>Lemon 167- Alhay Alraqi 02</t>
  </si>
  <si>
    <t>ليمون 184 - ابوعريش 2</t>
  </si>
  <si>
    <t>Lemon 184 Abu Arish_02</t>
  </si>
  <si>
    <t>ليمون 191 مجمع العميس</t>
  </si>
  <si>
    <t>Lemon 191 Al Emeis Polyclinic</t>
  </si>
  <si>
    <t>ليمون 192 - م. روز الطبي</t>
  </si>
  <si>
    <t>Lemon 192 - Rose Polyclinic</t>
  </si>
  <si>
    <t>ليمون 89 - الضيافة 3</t>
  </si>
  <si>
    <t>Lemon 89 - Al Dyafah 3</t>
  </si>
  <si>
    <t>ليمون 219 - الخالدية نجران</t>
  </si>
  <si>
    <t>Lemon 219 - Al Khaldiyyah Najran</t>
  </si>
  <si>
    <t>ليمون 218 - الفهد نجران</t>
  </si>
  <si>
    <t>Lemon 218  - Al Fahad Najran</t>
  </si>
  <si>
    <t>ليمون 217 - الفيصلية نجران</t>
  </si>
  <si>
    <t>Lemon 217 - Al Faisaliah Najran</t>
  </si>
  <si>
    <t>ليمون 241 - مجمع بسمات نجران</t>
  </si>
  <si>
    <t>Lemon 241 - Basmaat Polyclinic Najran</t>
  </si>
  <si>
    <t>ليمون 249 - التحلية خميس مشيط</t>
  </si>
  <si>
    <t>Lemon 249 - Tahliah Khamis Mesheat</t>
  </si>
  <si>
    <t>Lemon 252 - 80th St. Khamis Mesheat</t>
  </si>
  <si>
    <t>ليمون 254 - الواديين خميس مشيط</t>
  </si>
  <si>
    <t>Lemon 254 - Wadyeen Khamis Mesheat</t>
  </si>
  <si>
    <t>ليمون 209 - المحاله خميس مشيط</t>
  </si>
  <si>
    <t>Lemon 209 - Mahala Khamis Mesheat</t>
  </si>
  <si>
    <t>ليمون 251- المعمورة خميس مشيط</t>
  </si>
  <si>
    <t>ليمون 263 - بن هشبل</t>
  </si>
  <si>
    <t>Lemon 263 - Bin Hashbal</t>
  </si>
  <si>
    <t>ليمون 269 - الوديعة خميس مشيط</t>
  </si>
  <si>
    <t>Lemon 269 - Wadiah Khamis Mesheat</t>
  </si>
  <si>
    <t>ليمون 273 - آل بريد</t>
  </si>
  <si>
    <t>Lemon 273 - Al Braid</t>
  </si>
  <si>
    <t>ليمون 268 - الصفا جيزان</t>
  </si>
  <si>
    <t>Lemon 268 - Safa Jazan</t>
  </si>
  <si>
    <t>ليمون 285 - تاره خميس مشيط</t>
  </si>
  <si>
    <t>Lemon 285 - Tara Khamis Mesheat</t>
  </si>
  <si>
    <t>ليمون 286 - السد خميس مشيط</t>
  </si>
  <si>
    <t>Lemon 286- Al Sad Khamis Mesheat</t>
  </si>
  <si>
    <t>ليمون 287 - الجامعيين خميس مشيط</t>
  </si>
  <si>
    <t>Lemon 287 - Jam'een Khamis Mesheat</t>
  </si>
  <si>
    <t>ليمون 291 - سراه عبيد 1 حي النور عسير</t>
  </si>
  <si>
    <t>Lemon 291 - Sarat Obida 1</t>
  </si>
  <si>
    <t>Lemon 293 - Zahran Al  Janub</t>
  </si>
  <si>
    <t>ليمون 295 - الموسى خميس مشيط</t>
  </si>
  <si>
    <t>Lemon 295 - Al Mousa Khamis Mesheat</t>
  </si>
  <si>
    <t>Lemon 290 - Sarat Obida 2</t>
  </si>
  <si>
    <t>ليمون 307- محلية جازان</t>
  </si>
  <si>
    <t>Lemon 307 - Mehlyat Jazan</t>
  </si>
  <si>
    <t>ليمون 302 - ممشى الراقي</t>
  </si>
  <si>
    <t>Lemon 302 - Mamsha Al Raqi</t>
  </si>
  <si>
    <t>ليمون 320 - التضامن خميس مشيط</t>
  </si>
  <si>
    <t>ليمون 321 اليرموك خميس مشيط</t>
  </si>
  <si>
    <t>ليمون 323 النهضة خميس مشيط</t>
  </si>
  <si>
    <t>ليمون 332 -مخطط 7 جازان</t>
  </si>
  <si>
    <t>ليمون 304 الحصين نجران</t>
  </si>
  <si>
    <t>ليمون 305 - حي الجامعة نجران</t>
  </si>
  <si>
    <t>Lemon 305 - Jamiaa Najran</t>
  </si>
  <si>
    <t>ليمون 333حي الشاطئ جازان</t>
  </si>
  <si>
    <t>ليمون 356 - أحد رفيدة 3</t>
  </si>
  <si>
    <t>Lemon 356 - Ahd Rofaidah 3</t>
  </si>
  <si>
    <t>ليمون 310 الجوافه نجران</t>
  </si>
  <si>
    <t>ليمون 325 - عسير احد 2 رفيدة</t>
  </si>
  <si>
    <t>ليمون 360 - حي الموسي 2 خميس مشيط</t>
  </si>
  <si>
    <t>ليمون 363 - أحد رفيدة 4</t>
  </si>
  <si>
    <t>ليمون 161 - الجامعيين</t>
  </si>
  <si>
    <t>Lemon 161 - Al Jam'een</t>
  </si>
  <si>
    <t>ليمون 181 - النقرة</t>
  </si>
  <si>
    <t>Lemon 181 - An Naqrah</t>
  </si>
  <si>
    <t>Lemon 199 Areej Al Dawaa - Al Faisaliyyah</t>
  </si>
  <si>
    <t>ليمون 202 درة القاضي - السلمان</t>
  </si>
  <si>
    <t>Lemon 202 Durrat Al Qady - Al Salman</t>
  </si>
  <si>
    <t>ليمون 201 درة القاضي - ش ابو بكر</t>
  </si>
  <si>
    <t>Lemon 201 Durrat Al Qady - Abu Bakr St.</t>
  </si>
  <si>
    <t>ليمون 200 درة القاضي - ش الأمير ع</t>
  </si>
  <si>
    <t>Lemon 200 Durrat Al Qady - Abdul Majeed St.</t>
  </si>
  <si>
    <t>ليمون 179 - الوادي</t>
  </si>
  <si>
    <t>Lemon 179 -  Al Wadi</t>
  </si>
  <si>
    <t>ليمون 180 - الياسمين</t>
  </si>
  <si>
    <t>Lemon 180 - Al Yasmin</t>
  </si>
  <si>
    <t>ليمون 258 - سلامات 1</t>
  </si>
  <si>
    <t>Lemon 258 - Salamat 1</t>
  </si>
  <si>
    <t>ليمون 259 - سلامات 3</t>
  </si>
  <si>
    <t>Lemon 259 - Salamat 3</t>
  </si>
  <si>
    <t>ليمون الحكمة سلامات</t>
  </si>
  <si>
    <t>Lemon - Al Hikma Salamat</t>
  </si>
  <si>
    <t>ليمون 222 - القاعدة الجوية</t>
  </si>
  <si>
    <t>Lemon 222 - Air Base</t>
  </si>
  <si>
    <t>ليمون 230 - المروج عرعر</t>
  </si>
  <si>
    <t>Lemon 230 - Al Muruj Arar</t>
  </si>
  <si>
    <t>ليمون 228 - الربوة عرعر</t>
  </si>
  <si>
    <t>Lemon 228 - Al Rabwa Arar</t>
  </si>
  <si>
    <t>ليمون 236 - النزهة سكاكا</t>
  </si>
  <si>
    <t>Lemon 236 - Al Nozha Sakaka</t>
  </si>
  <si>
    <t>ليمون 237 - الرحمانية سكاكا</t>
  </si>
  <si>
    <t>Lemon 237 - Al Rahmania Sakaka</t>
  </si>
  <si>
    <t>Lemon 215 - Mansouria Arar</t>
  </si>
  <si>
    <t>ليمون 245 - المباركية عرعر</t>
  </si>
  <si>
    <t>Lemon 245 - Mubarakia Arar</t>
  </si>
  <si>
    <t>ليمون 246 - الريان تبوك</t>
  </si>
  <si>
    <t>Lemon 246 - Rayyan Tabuk</t>
  </si>
  <si>
    <t>ليمون 248 - مستوصف الرازي</t>
  </si>
  <si>
    <t>Lemon - 248 Al Razi Polyclinic</t>
  </si>
  <si>
    <t>ليمون 257 - المروج 2 عرعر</t>
  </si>
  <si>
    <t>Lemon 257 - Mrooj 2 Arar</t>
  </si>
  <si>
    <t>ليمون 270 - الروابي عرعر</t>
  </si>
  <si>
    <t>Lemon 270 - Arwabi Arar</t>
  </si>
  <si>
    <t>ليمون 267 - الفيصليه عرعر</t>
  </si>
  <si>
    <t>Lemon 267 - Faisaliah Arar</t>
  </si>
  <si>
    <t>ليمون 260 - البوادي تبوك</t>
  </si>
  <si>
    <t>Lemon 260 - Bawady Tabuk</t>
  </si>
  <si>
    <t>ليمون 292 - الخزامى القريات</t>
  </si>
  <si>
    <t>Lemon 292 - Al Khuzama Qurayat</t>
  </si>
  <si>
    <t>ليمون 316 - النقرة 2 حائل</t>
  </si>
  <si>
    <t>Lemon 316 - Al Naqrah 2 Hail</t>
  </si>
  <si>
    <t>ليمون 317 - الشبيلي حائل</t>
  </si>
  <si>
    <t>Lemon 317 -Al Shabili Hail</t>
  </si>
  <si>
    <t>ليمون 318 - الرصف حائل</t>
  </si>
  <si>
    <t>Lemon 318 - Al Rasf Hail</t>
  </si>
  <si>
    <t>ليمون 319 - الوسيطاء حائل</t>
  </si>
  <si>
    <t>Lemon 319 - Al Wasayta Hail</t>
  </si>
  <si>
    <t>ليمون 327 - مروج الأمير تبوك</t>
  </si>
  <si>
    <t>ليمون 329 - الصفا تبوك</t>
  </si>
  <si>
    <t>ليمون 326 - رفحاء الميج</t>
  </si>
  <si>
    <t>ليمون 335 - القادسية رفحاء</t>
  </si>
  <si>
    <t>ليمون 345 - الجميمة رفحاء</t>
  </si>
  <si>
    <t>ليمون 289 - المدينة المطل</t>
  </si>
  <si>
    <t>Lemon 289 - Al Madinah Almatal</t>
  </si>
  <si>
    <t>ليمون 354 - السكة الحديد المدينة المنورة</t>
  </si>
  <si>
    <t>note</t>
  </si>
  <si>
    <t>Lemon 351- Al Quds Al Qassim</t>
  </si>
  <si>
    <t>Lemon 350 Al Janubiyah Al Khobar</t>
  </si>
  <si>
    <t>ليمون 100 مول النخيل الرياض</t>
  </si>
  <si>
    <t>صيدلية ليمون 35 حي ام الحمام</t>
  </si>
  <si>
    <t>صيدلية  ليمون 33</t>
  </si>
  <si>
    <t>صيدلية  ليمون 36</t>
  </si>
  <si>
    <t>صيدلية  ليمون 37</t>
  </si>
  <si>
    <t>صيدلية  ليمون 40</t>
  </si>
  <si>
    <t>صيدلية  ليمون 45</t>
  </si>
  <si>
    <t>صيدلية  ليمون 50</t>
  </si>
  <si>
    <t>صيدلية  ليمون 94</t>
  </si>
  <si>
    <t>صيدلية  ليمون 95</t>
  </si>
  <si>
    <t>صيدلية  ليمون 97</t>
  </si>
  <si>
    <t>ليمون 31 الفارابى  1</t>
  </si>
  <si>
    <t>ليمون  43 الفارابى  2</t>
  </si>
  <si>
    <t>LEMON 347 AL Khazzan Bisha</t>
  </si>
  <si>
    <t>ليمون 107 شارع بلال بن رباح</t>
  </si>
  <si>
    <t>Lemon 271 - Jazzera</t>
  </si>
  <si>
    <t>ليمون - مجمع  انجاز الطبي</t>
  </si>
  <si>
    <t>lemon 324 Alroaya Medical Complex</t>
  </si>
  <si>
    <t>ليمون 324 مجمع الرؤية الطبي</t>
  </si>
  <si>
    <t>Lemon 341 - Al Salam Al Othaim</t>
  </si>
  <si>
    <t>Lemon 344 - Hayat PolyClinic MODON</t>
  </si>
  <si>
    <t>Lemon 368 - Olaya Medical Center</t>
  </si>
  <si>
    <t>Lemon 328 Buraydah Al-Hazm</t>
  </si>
  <si>
    <t>Lemon 339 - Rafiaah Buraydah</t>
  </si>
  <si>
    <t>Lemon 343 - Al Badayea 4 Al Qassim</t>
  </si>
  <si>
    <t>Lemon 348 - Al Badayea 5 Al Qassim</t>
  </si>
  <si>
    <t>Lemon 340 - Al Ufuq Al Qassim</t>
  </si>
  <si>
    <t>Lemon 353 - Falah Burydah</t>
  </si>
  <si>
    <t>Lemon 346 Al Rayyan Unaizah</t>
  </si>
  <si>
    <t>Lemon 163 - Al Ras</t>
  </si>
  <si>
    <t>ليمون  163 - الرس</t>
  </si>
  <si>
    <t>Lemon 331 - Viola Majmaah</t>
  </si>
  <si>
    <t>Lemon 81 Jeddah Park Mall</t>
  </si>
  <si>
    <t>ليمون81  جدة بارك</t>
  </si>
  <si>
    <t>ليمون 123 حي الرحمانية  جدة</t>
  </si>
  <si>
    <t>ليمون 124  جدة حي الصالحية</t>
  </si>
  <si>
    <t>Lemon 283 - Riyadh Dist. 1 Jeddah</t>
  </si>
  <si>
    <t>Lemon 296 -Jeddah Riyadh Dist. 2</t>
  </si>
  <si>
    <t>ليمون 296 -جدة مخطط الرياض 2</t>
  </si>
  <si>
    <t>LEMON 80 - Rahmanya 2 Jeddah</t>
  </si>
  <si>
    <t>ليمون 80 - الرحمانية 2 جدة</t>
  </si>
  <si>
    <t>Lemon 315 - Sanabel 3 Jeddah</t>
  </si>
  <si>
    <t>Lemon 309 - Ajaweed 2 Jeddah</t>
  </si>
  <si>
    <t>Lemon 330 - Gharan Jeddah</t>
  </si>
  <si>
    <t>Lemon 352 - Waly Al Ahd 2</t>
  </si>
  <si>
    <t>ليمون 232 - العزيزية 2 الخبر</t>
  </si>
  <si>
    <t>Lemon 282 - Al Khaleej Polyclinic Ahsa</t>
  </si>
  <si>
    <t>Lemon 303 - Al sawari khobar</t>
  </si>
  <si>
    <t>ليمون 279 - الواحة حفر الباطن</t>
  </si>
  <si>
    <t>ليمون 147  - الموظفين</t>
  </si>
  <si>
    <t>Lemon 322 Prince Sultan City, Abha</t>
  </si>
  <si>
    <t>ليمون 322 مدينة الامير سلطان ابها</t>
  </si>
  <si>
    <t>Lemon 358 - Aziziyyah Tathleeth</t>
  </si>
  <si>
    <t>ليمون 118 الدرب  جازان</t>
  </si>
  <si>
    <t>Lemon 172 - Ohoud Rofaidah 1</t>
  </si>
  <si>
    <t>ليمون 172 - احد رفيدة 1</t>
  </si>
  <si>
    <t>ليمون 167 - الحي الراقي 2</t>
  </si>
  <si>
    <t>ليمون 252 - شارع 80 خميس مشيط</t>
  </si>
  <si>
    <t>Lemon 251 - Maamora Khamis Mesheat</t>
  </si>
  <si>
    <t>ليمون 293 - ظهران الجنوب حي الرحيب عسير</t>
  </si>
  <si>
    <t>ليمون  290 - سراة عبيدة 2</t>
  </si>
  <si>
    <t>Lemon 320 - ALtadamun Khamis Mesheat</t>
  </si>
  <si>
    <t>Lemon 321 Yarmouk Khamis Mesheat</t>
  </si>
  <si>
    <t>Lemon 323 - Al Nahda Khamis Mushayt</t>
  </si>
  <si>
    <t>Lemon 332 - District 7 Jizan</t>
  </si>
  <si>
    <t>Lemon 304 Al-Hussain Najran</t>
  </si>
  <si>
    <t>Lemon 333 Al-Shatea Jazan</t>
  </si>
  <si>
    <t>Lemon 310 Guava Najran</t>
  </si>
  <si>
    <t>Lemon 325 Asir - Ahad Rafidah 2</t>
  </si>
  <si>
    <t>Lemon 360 - Al Moussa 2 Khamis Mushait</t>
  </si>
  <si>
    <t>Lemon 363 - Ahd Rofaidah 4</t>
  </si>
  <si>
    <t>ليمون 199 اريج الدواء - الفيصليه</t>
  </si>
  <si>
    <t>ليمون 215 - المنصورية عرعر</t>
  </si>
  <si>
    <t>Lemon 327 - murujal amir Tabuk</t>
  </si>
  <si>
    <t>Lemon 329 - Alsafa Tabuk</t>
  </si>
  <si>
    <t>Lemon 326 Rafha Al-Maj</t>
  </si>
  <si>
    <t>Lemon 335 - Alqadysia rafhaa</t>
  </si>
  <si>
    <t>Lemon 345 - Jumayma Rafhaa</t>
  </si>
  <si>
    <t>Lemon 355 Al Aqali Qurban PolyClinic - Madinah</t>
  </si>
  <si>
    <t>ليمون 355 - العقالي  المدينة قربان</t>
  </si>
  <si>
    <t>Lemon 354 - Sikkah Al Hadid Al Madinah</t>
  </si>
  <si>
    <t xml:space="preserve">خالد </t>
  </si>
  <si>
    <t xml:space="preserve">مجمع الامل </t>
  </si>
  <si>
    <t xml:space="preserve">اصداء الصحه </t>
  </si>
  <si>
    <t>ليمون الشرق</t>
  </si>
  <si>
    <t>غبيره/الديار 1</t>
  </si>
  <si>
    <t>هارون الرشيد</t>
  </si>
  <si>
    <t>ريان الشرق</t>
  </si>
  <si>
    <t>BISHA</t>
  </si>
  <si>
    <t>HAIL</t>
  </si>
  <si>
    <t>JEDDAH</t>
  </si>
  <si>
    <t>TAIF</t>
  </si>
  <si>
    <t>DAMMAM</t>
  </si>
  <si>
    <t>NAJRAN</t>
  </si>
  <si>
    <t>TABUK</t>
  </si>
  <si>
    <t>SAKAKA</t>
  </si>
  <si>
    <t>ARAR</t>
  </si>
  <si>
    <t>MADINAH</t>
  </si>
  <si>
    <t>Lemon 364 - Al Runah Khamis Mushait</t>
  </si>
  <si>
    <t>Lemon 365 - Al Amarah Khamis Mushait</t>
  </si>
  <si>
    <t>Lemon 297 Enjaz 1 Polyclinic</t>
  </si>
  <si>
    <t>ليمون 364 - الرونة خميس مشيط</t>
  </si>
  <si>
    <t>ليمون 365 - العمارة خميس مشيط</t>
  </si>
  <si>
    <t>ليمون 297 مجمع  انجاز الطبي 1</t>
  </si>
  <si>
    <t>ليمون 382 - مستوصف إنجاز 2</t>
  </si>
  <si>
    <t>Lemon 382 - Enjaz Polyclinic 2</t>
  </si>
  <si>
    <t>REGION</t>
  </si>
  <si>
    <t>RIYADH</t>
  </si>
  <si>
    <t>JIZAN</t>
  </si>
  <si>
    <t>AL QASSIM</t>
  </si>
  <si>
    <t>ABHA-KHAMIS</t>
  </si>
  <si>
    <t>AL MAJMA'AH</t>
  </si>
  <si>
    <t>MAKKAH</t>
  </si>
  <si>
    <t>HAFAR AL BATIN</t>
  </si>
  <si>
    <t>QURAYYAT</t>
  </si>
  <si>
    <t>WADI AD-DAWASIR</t>
  </si>
  <si>
    <t>AL AFLAJ</t>
  </si>
  <si>
    <t>RAFHA</t>
  </si>
  <si>
    <t>OPENING</t>
  </si>
  <si>
    <t>Lemon 370 - Al Haram Al Madinah</t>
  </si>
  <si>
    <t>EN</t>
  </si>
  <si>
    <t>ليمون 370 - الحرم النبوي المدينة المنورة</t>
  </si>
  <si>
    <t>Lemon 207 - Enaya &amp; Nadara 2</t>
  </si>
  <si>
    <t>Lemon 378 - Al Darb 2 Jazan</t>
  </si>
  <si>
    <t>ليمون 378 - الدرب 2 جازان</t>
  </si>
  <si>
    <t>ليمون 207 - عناية و نضارة 2</t>
  </si>
  <si>
    <t>26-Jun</t>
  </si>
  <si>
    <t>30-7 stock lvl</t>
  </si>
  <si>
    <t>%</t>
  </si>
  <si>
    <t>27-Jul</t>
  </si>
  <si>
    <t>Row Labels</t>
  </si>
  <si>
    <t>Grand Total</t>
  </si>
  <si>
    <t>Average of %</t>
  </si>
  <si>
    <t>26-Aug</t>
  </si>
  <si>
    <t>ليمون 397 - مجمع الخليجي الطبي شبرا</t>
  </si>
  <si>
    <t>ليمون 396 - مجمع الخليجي الطبي الشفا</t>
  </si>
  <si>
    <t>ليمون 375 - بللحمر عسير</t>
  </si>
  <si>
    <t>ليمون 369 - العقالي العزيزية المدينة المنورة</t>
  </si>
  <si>
    <t>ليمون 388 - بوبا كلينك</t>
  </si>
  <si>
    <t>ليمون 398 - مجمع الخليجي الطبي الصناعية</t>
  </si>
  <si>
    <t>Lemon 388 - Bupa Clinic</t>
  </si>
  <si>
    <t>Lemon 396 - Al Khaleejy Shifa Polyclinic</t>
  </si>
  <si>
    <t>Lemon 397 - Al Khaleejy Shubra Polyclinic</t>
  </si>
  <si>
    <t>Lemon 375 - Balahmar Asir</t>
  </si>
  <si>
    <t>Lemon 369 - Al Aqali Aziziyah Al Madinah</t>
  </si>
  <si>
    <t>Lemon 398 - Al Khaleejy Modon Polyclinic</t>
  </si>
  <si>
    <t>ST_NAME</t>
  </si>
  <si>
    <t>Lemon Online</t>
  </si>
  <si>
    <t/>
  </si>
  <si>
    <t>Pick UP</t>
  </si>
  <si>
    <t>Delivery</t>
  </si>
  <si>
    <t>Courier</t>
  </si>
  <si>
    <t>FAYEZ 6398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</si>
</sst>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mm\ \-\ yyyy"/>
    <numFmt numFmtId="166" formatCode="#,##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" fontId="0" fillId="3" borderId="0" xfId="0" applyNumberForma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0" fillId="0" borderId="0" xfId="2" applyNumberFormat="1" applyFon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left" vertical="center"/>
    </xf>
    <xf numFmtId="49" fontId="0" fillId="0" borderId="0" xfId="0" applyNumberFormat="1"/>
    <xf numFmtId="49" fontId="0" fillId="2" borderId="1" xfId="0" applyNumberForma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numFmt numFmtId="164" formatCode="_(* #,##0_);_(* \(#,##0\);_(* &quot;-&quot;??_);_(@_)"/>
      <alignment horizontal="center" vertical="center" textRotation="0" wrapText="0" indent="0" justifyLastLine="0" shrinkToFit="0" readingOrder="0"/>
    </dxf>
    <dxf>
      <numFmt numFmtId="165" formatCode="mm\ \-\ yyyy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</dxf>
    <dxf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4.349961689812" createdVersion="7" refreshedVersion="7" minRefreshableVersion="3" recordCount="374" xr:uid="{8A301F7E-E1C5-442B-A329-BEF63E1ED077}">
  <cacheSource type="worksheet">
    <worksheetSource name="Table1"/>
  </cacheSource>
  <cacheFields count="13">
    <cacheField name="Store Code" numFmtId="1">
      <sharedItems containsString="0" containsBlank="1" containsNumber="1" containsInteger="1" minValue="100202001002" maxValue="200205020500"/>
    </cacheField>
    <cacheField name="ar" numFmtId="0">
      <sharedItems/>
    </cacheField>
    <cacheField name="EN" numFmtId="0">
      <sharedItems/>
    </cacheField>
    <cacheField name="Supervisor" numFmtId="0">
      <sharedItems count="15">
        <s v="ABDUL KHALEK"/>
        <s v="KHASHBA"/>
        <s v="MOHSEN"/>
        <s v="SETOHY"/>
        <s v="WALEED"/>
        <s v="ABDUL MAJEED"/>
        <s v="KHALED"/>
        <s v="SHAHRANY"/>
        <s v="ABDULLAH"/>
        <s v="OSAMA"/>
        <s v="TAREK"/>
        <s v="JAZAR"/>
        <s v="REFAAT"/>
        <s v="OSAMA KH"/>
        <s v="AHOUD"/>
      </sharedItems>
    </cacheField>
    <cacheField name="Turnaround" numFmtId="0">
      <sharedItems containsBlank="1"/>
    </cacheField>
    <cacheField name="Category" numFmtId="0">
      <sharedItems/>
    </cacheField>
    <cacheField name="note" numFmtId="0">
      <sharedItems containsBlank="1" containsMixedTypes="1" containsNumber="1" containsInteger="1" minValue="0" maxValue="0"/>
    </cacheField>
    <cacheField name="REGION" numFmtId="0">
      <sharedItems containsBlank="1"/>
    </cacheField>
    <cacheField name="OPENING" numFmtId="165">
      <sharedItems containsNonDate="0" containsDate="1" containsString="0" containsBlank="1" minDate="2016-01-01T00:00:00" maxDate="2026-12-12T00:00:00"/>
    </cacheField>
    <cacheField name="26-Jun" numFmtId="164">
      <sharedItems containsSemiMixedTypes="0" containsString="0" containsNumber="1" minValue="0" maxValue="2706951.3255000003"/>
    </cacheField>
    <cacheField name="27-Jul" numFmtId="3">
      <sharedItems containsSemiMixedTypes="0" containsString="0" containsNumber="1" minValue="0" maxValue="2543593.4035000005"/>
    </cacheField>
    <cacheField name="30-7 stock lvl" numFmtId="3">
      <sharedItems containsSemiMixedTypes="0" containsString="0" containsNumber="1" minValue="35223.488499999999" maxValue="4372701.1647500005"/>
    </cacheField>
    <cacheField name="%" numFmtId="2">
      <sharedItems containsSemiMixedTypes="0" containsString="0" containsNumber="1" minValue="0" maxValue="28.9328780360765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n v="200202001035"/>
    <s v="ليمون 330 - غران جدة"/>
    <s v="Lemon 330 - Gharan Jeddah"/>
    <x v="0"/>
    <m/>
    <s v="Street"/>
    <n v="0"/>
    <s v="JEDDAH"/>
    <d v="2025-10-12T00:00:00"/>
    <n v="11917.263499999997"/>
    <n v="14591.2"/>
    <n v="422165.41"/>
    <n v="28.932878036076538"/>
  </r>
  <r>
    <n v="200202001038"/>
    <s v="ليمون 352 - ولي العهد 2"/>
    <s v="Lemon 352 - Waly Al Ahd 2"/>
    <x v="0"/>
    <m/>
    <s v="Street"/>
    <n v="0"/>
    <s v="MAKKAH"/>
    <d v="2026-02-09T00:00:00"/>
    <n v="17698.146999999997"/>
    <n v="34951.122699999993"/>
    <n v="625504.29"/>
    <n v="17.896543563677859"/>
  </r>
  <r>
    <n v="200201010936"/>
    <s v="ليمون 190 - اليرموك 3"/>
    <s v="Lemon 190 - Al Yarmook 3"/>
    <x v="1"/>
    <s v="MUSTAFA"/>
    <s v="Street"/>
    <n v="0"/>
    <s v="RIYADH"/>
    <d v="2024-03-27T00:00:00"/>
    <n v="41902.395599999996"/>
    <n v="26166.129999999994"/>
    <n v="449601.09499999997"/>
    <n v="17.182559858870995"/>
  </r>
  <r>
    <n v="200202001034"/>
    <s v="ليمون 309 - أجاويد 2 جدة"/>
    <s v="Lemon 309 - Ajaweed 2 Jeddah"/>
    <x v="0"/>
    <m/>
    <s v="Street"/>
    <n v="0"/>
    <s v="JEDDAH"/>
    <d v="2025-10-08T00:00:00"/>
    <n v="41213.161399999997"/>
    <n v="33563.69"/>
    <n v="566585.96849999996"/>
    <n v="16.880920080599001"/>
  </r>
  <r>
    <n v="200205010917"/>
    <s v="ليمون 316 - النقرة 2 حائل"/>
    <s v="Lemon 316 - Al Naqrah 2 Hail"/>
    <x v="2"/>
    <m/>
    <s v="Street"/>
    <n v="0"/>
    <s v="HAIL"/>
    <d v="2025-09-18T00:00:00"/>
    <n v="52550.203900000008"/>
    <n v="39166.862499999996"/>
    <n v="651814.41"/>
    <n v="16.641986832619033"/>
  </r>
  <r>
    <n v="200204030008"/>
    <s v="ليمون 102 الكدرة رقم 2 جازان"/>
    <s v="Lemon 102 Jizan Kadrah-02"/>
    <x v="3"/>
    <m/>
    <s v="Street"/>
    <n v="0"/>
    <s v="JIZAN"/>
    <d v="2021-12-01T00:00:00"/>
    <n v="35728.496100000004"/>
    <n v="36606.020000000004"/>
    <n v="589190.76100000006"/>
    <n v="16.095460828574097"/>
  </r>
  <r>
    <m/>
    <s v="ليمون 378 - الدرب 2 جازان"/>
    <s v="Lemon 378 - Al Darb 2 Jazan"/>
    <x v="3"/>
    <m/>
    <s v="Street"/>
    <m/>
    <m/>
    <m/>
    <n v="0"/>
    <n v="28914.850000000002"/>
    <n v="454756.92849999998"/>
    <n v="15.727452450903254"/>
  </r>
  <r>
    <n v="200202001032"/>
    <s v="ليمون 80 - الرحمانية 2 جدة"/>
    <s v="LEMON 80 - Rahmanya 2 Jeddah"/>
    <x v="0"/>
    <m/>
    <s v="Street"/>
    <n v="0"/>
    <s v="JEDDAH"/>
    <d v="2026-01-01T00:00:00"/>
    <n v="33054.535699999993"/>
    <n v="40544.82"/>
    <n v="578450.99750000006"/>
    <n v="14.266951918888777"/>
  </r>
  <r>
    <n v="200202001033"/>
    <s v="ليمون 315 - سنابل 3 جدة"/>
    <s v="Lemon 315 - Sanabel 3 Jeddah"/>
    <x v="0"/>
    <m/>
    <s v="Street"/>
    <n v="0"/>
    <s v="JEDDAH"/>
    <d v="2025-10-05T00:00:00"/>
    <n v="36538.523599999993"/>
    <n v="40630.150000000009"/>
    <n v="562541.59250000003"/>
    <n v="13.845422487979983"/>
  </r>
  <r>
    <n v="200201010919"/>
    <s v="ليمون 164 - البيروني"/>
    <s v="Lemon 164 - Biruni"/>
    <x v="4"/>
    <m/>
    <s v="Polyclinic"/>
    <n v="0"/>
    <s v="RIYADH"/>
    <d v="2023-07-12T00:00:00"/>
    <n v="44868.291299999997"/>
    <n v="36104.630000000005"/>
    <n v="448504.58"/>
    <n v="12.42235635706556"/>
  </r>
  <r>
    <n v="200204030006"/>
    <s v="ليمون 87 الكدرة رقم 1 جازان"/>
    <s v="Lemon 87 Jizan Kadrah-01"/>
    <x v="3"/>
    <m/>
    <s v="Street"/>
    <n v="0"/>
    <s v="JIZAN"/>
    <d v="2021-11-01T00:00:00"/>
    <n v="49943.272499999999"/>
    <n v="59206.569999999992"/>
    <n v="729145.94"/>
    <n v="12.315287644597552"/>
  </r>
  <r>
    <n v="200201010938"/>
    <s v="ليمون 233 - الواحة الدوادمي"/>
    <s v="Lemon 233 - Al Waha Al Duwadimi"/>
    <x v="5"/>
    <s v="MUSTAFA"/>
    <s v="Street"/>
    <n v="0"/>
    <s v="RIYADH"/>
    <d v="2024-05-06T00:00:00"/>
    <n v="36445.268000000004"/>
    <n v="34333.170000000006"/>
    <n v="419027.28749999998"/>
    <n v="12.204736338066072"/>
  </r>
  <r>
    <n v="200203010817"/>
    <s v="ليمون 350 - الخبر الجنوبية"/>
    <s v="Lemon 350 Al Janubiyah Al Khobar"/>
    <x v="6"/>
    <m/>
    <s v="Street"/>
    <n v="0"/>
    <s v="DAMMAM"/>
    <d v="2026-03-28T00:00:00"/>
    <n v="53779.57"/>
    <n v="60230.655000000006"/>
    <n v="733108.46750000003"/>
    <n v="12.171683464176173"/>
  </r>
  <r>
    <n v="200204030061"/>
    <s v="ليمون 364 - الرونة خميس مشيط"/>
    <s v="Lemon 364 - Al Runah Khamis Mushait"/>
    <x v="7"/>
    <m/>
    <s v="Street"/>
    <n v="0"/>
    <s v="ABHA-KHAMIS"/>
    <d v="2026-04-18T00:00:00"/>
    <n v="21393.29"/>
    <n v="53846.700000000004"/>
    <n v="624517.80000000005"/>
    <n v="11.598070076717793"/>
  </r>
  <r>
    <n v="200201020500"/>
    <s v="ليمون 300 - السحاب الخرج"/>
    <s v="Lemon 300 - Sehab Al Kharj"/>
    <x v="8"/>
    <m/>
    <s v="Street"/>
    <n v="0"/>
    <s v="RIYADH"/>
    <d v="2025-07-30T00:00:00"/>
    <n v="53567.670600000005"/>
    <n v="46538.649999999994"/>
    <n v="525389.48100000003"/>
    <n v="11.289315031699461"/>
  </r>
  <r>
    <n v="200202001031"/>
    <s v="ليمون 299 - الرحمانية 3 جدة"/>
    <s v="Lemon 299 - Rahmanya 3 Jeddah"/>
    <x v="0"/>
    <m/>
    <s v="Street"/>
    <n v="0"/>
    <s v="JEDDAH"/>
    <d v="2025-07-23T00:00:00"/>
    <n v="56463.546699999977"/>
    <n v="59410.160000000011"/>
    <n v="660443.05500000005"/>
    <n v="11.116668512591112"/>
  </r>
  <r>
    <n v="200202001026"/>
    <s v="ليمون 244 - الصالحية 3"/>
    <s v="Lemon 244 - Salhya 3"/>
    <x v="0"/>
    <m/>
    <s v="Street"/>
    <n v="0"/>
    <s v="JEDDAH"/>
    <d v="2024-10-03T00:00:00"/>
    <n v="51071.993699999992"/>
    <n v="50828.390000000007"/>
    <n v="564318.73250000004"/>
    <n v="11.102431780743006"/>
  </r>
  <r>
    <n v="200201010954"/>
    <s v="ليمون 265 - مجمع الحياة النفل"/>
    <s v="Lemon 265 - Hayat Polyclinic Nafl"/>
    <x v="4"/>
    <m/>
    <s v="Polyclinic"/>
    <n v="0"/>
    <s v="RIYADH"/>
    <d v="2025-01-09T00:00:00"/>
    <n v="31883.055"/>
    <n v="40197.539999999994"/>
    <n v="446253.23749999999"/>
    <n v="11.101506149381281"/>
  </r>
  <r>
    <n v="200202001028"/>
    <s v="ليمون 283 - مخطط الرياض 1"/>
    <s v="Lemon 283 - Riyadh Dist. 1 Jeddah"/>
    <x v="0"/>
    <m/>
    <s v="Street"/>
    <n v="0"/>
    <s v="JEDDAH"/>
    <d v="2025-11-17T00:00:00"/>
    <n v="36602.631300000008"/>
    <n v="51793.94000000001"/>
    <n v="573868.45360000001"/>
    <n v="11.079837787972878"/>
  </r>
  <r>
    <n v="200203010806"/>
    <s v="ليمون 235 - بدر 1 الدمام"/>
    <s v="Lemon 235 - Badr 1 Dammam"/>
    <x v="6"/>
    <s v="MUSTAFA"/>
    <s v="Street"/>
    <n v="0"/>
    <s v="DAMMAM"/>
    <d v="2024-05-22T00:00:00"/>
    <n v="44826.457999999999"/>
    <n v="38298.540000000008"/>
    <n v="421368.17749999999"/>
    <n v="11.002199496377665"/>
  </r>
  <r>
    <n v="200204030058"/>
    <s v="ليمون 360 - حي الموسي 2 خميس مشيط"/>
    <s v="Lemon 360 - Al Moussa 2 Khamis Mushait"/>
    <x v="7"/>
    <m/>
    <s v="Street"/>
    <n v="0"/>
    <s v="ABHA-KHAMIS"/>
    <d v="2026-03-01T00:00:00"/>
    <n v="33858.111499999999"/>
    <n v="55019.320000000007"/>
    <n v="600469.99"/>
    <n v="10.913802460662907"/>
  </r>
  <r>
    <n v="101202001012"/>
    <s v="ليمون عوافي 12"/>
    <s v="LEMON AWAFY-12"/>
    <x v="9"/>
    <s v="MUSTAFA"/>
    <s v="Street"/>
    <n v="0"/>
    <s v="BISHA"/>
    <d v="2025-03-07T00:00:00"/>
    <n v="55993.123700000018"/>
    <n v="51970.617499999993"/>
    <n v="552310.49349999998"/>
    <n v="10.627360613908428"/>
  </r>
  <r>
    <n v="200201010968"/>
    <s v="ليمون 341 - السلام العثيم"/>
    <s v="Lemon 341 - Al Salam Al Othaim"/>
    <x v="8"/>
    <m/>
    <s v="Street"/>
    <n v="0"/>
    <s v="RIYADH"/>
    <d v="2025-11-24T00:00:00"/>
    <n v="111029.683"/>
    <n v="90068.409999999989"/>
    <n v="933571.94750000001"/>
    <n v="10.365142978542645"/>
  </r>
  <r>
    <n v="200205010925"/>
    <s v="ليمون 345 - الجميمة رفحاء"/>
    <s v="Lemon 345 - Jumayma Rafhaa"/>
    <x v="2"/>
    <m/>
    <s v="Street"/>
    <n v="0"/>
    <s v="RAFHA"/>
    <d v="2025-12-07T00:00:00"/>
    <n v="54974.145299999989"/>
    <n v="56938.979999999996"/>
    <n v="579138.91500000004"/>
    <n v="10.171220401208453"/>
  </r>
  <r>
    <n v="200201011000"/>
    <s v="ليمون 110 الخليج مول"/>
    <s v="Lemon 110 AL-khalij Mall"/>
    <x v="8"/>
    <m/>
    <s v="Street"/>
    <n v="0"/>
    <s v="RIYADH"/>
    <d v="2022-03-28T00:00:00"/>
    <n v="122660.67999999998"/>
    <n v="129743.62"/>
    <n v="1312380.943"/>
    <n v="10.115186727486099"/>
  </r>
  <r>
    <n v="200204030034"/>
    <s v="ليمون 251- المعمورة خميس مشيط"/>
    <s v="Lemon 251 - Maamora Khamis Mesheat"/>
    <x v="9"/>
    <m/>
    <s v="Street"/>
    <n v="0"/>
    <s v="ABHA-KHAMIS"/>
    <d v="2025-10-27T00:00:00"/>
    <n v="42892.172399999989"/>
    <n v="67958.740000000005"/>
    <n v="685390.63899999997"/>
    <n v="10.085393563800622"/>
  </r>
  <r>
    <n v="200202001036"/>
    <s v="ليمون 334 - الفروسية جدة"/>
    <s v="Lemon 334 - Frosyah Jeddah"/>
    <x v="0"/>
    <m/>
    <s v="Street"/>
    <n v="0"/>
    <s v="JEDDAH"/>
    <d v="2025-12-27T00:00:00"/>
    <n v="70054.335000000006"/>
    <n v="67780.554300000003"/>
    <n v="669716.97250000003"/>
    <n v="9.8806653238006934"/>
  </r>
  <r>
    <n v="200204030022"/>
    <s v="ليمون 184 - ابوعريش 2"/>
    <s v="Lemon 184 Abu Arish_02"/>
    <x v="3"/>
    <m/>
    <s v="Street"/>
    <n v="0"/>
    <s v="JIZAN"/>
    <d v="2023-09-20T00:00:00"/>
    <n v="64888.571599999996"/>
    <n v="62939.721500000014"/>
    <n v="620048.78599999996"/>
    <n v="9.8514701244745702"/>
  </r>
  <r>
    <n v="200205010924"/>
    <s v="ليمون 335 - القادسية رفحاء"/>
    <s v="Lemon 335 - Alqadysia rafhaa"/>
    <x v="2"/>
    <m/>
    <s v="Street"/>
    <n v="0"/>
    <s v="RAFHA"/>
    <d v="2025-10-30T00:00:00"/>
    <n v="48762.464700000004"/>
    <n v="65170.302600000003"/>
    <n v="634337.67249999999"/>
    <n v="9.733538854244939"/>
  </r>
  <r>
    <n v="200203010813"/>
    <s v="ليمون 308 - طريق الخليج"/>
    <s v="Lemon 308 - Al Khaleej Road"/>
    <x v="6"/>
    <m/>
    <s v="Street"/>
    <n v="0"/>
    <s v="DAMMAM"/>
    <d v="2025-07-19T00:00:00"/>
    <n v="74355.194900000017"/>
    <n v="79213.41"/>
    <n v="767374.76249999995"/>
    <n v="9.6874350252059589"/>
  </r>
  <r>
    <n v="200204020006"/>
    <s v="ليمون 358 - العزيزية تثليث عوافي"/>
    <s v="Lemon 358 - Aziziyyah Tathleeth"/>
    <x v="9"/>
    <m/>
    <s v="Street"/>
    <n v="0"/>
    <s v="BISHA"/>
    <d v="2026-02-12T00:00:00"/>
    <n v="50198.952199999992"/>
    <n v="58428.58"/>
    <n v="557814.995"/>
    <n v="9.5469545041142538"/>
  </r>
  <r>
    <n v="200204030051"/>
    <s v="ليمون 332 -مخطط 7 جازان"/>
    <s v="Lemon 332 - District 7 Jizan"/>
    <x v="3"/>
    <m/>
    <s v="Street"/>
    <n v="0"/>
    <s v="JIZAN"/>
    <d v="2025-10-08T00:00:00"/>
    <n v="70895.808799999984"/>
    <n v="80535.997499999983"/>
    <n v="767391.35149999999"/>
    <n v="9.5285509004839746"/>
  </r>
  <r>
    <n v="200202001030"/>
    <s v="ليمون 301 - الفضيلة جدة"/>
    <s v="Lemon 301 - Fadeyla Jeddah"/>
    <x v="0"/>
    <m/>
    <s v="Street"/>
    <n v="0"/>
    <s v="JEDDAH"/>
    <d v="2025-07-21T00:00:00"/>
    <n v="56679.629700000012"/>
    <n v="64265.458699999996"/>
    <n v="605255.31999999995"/>
    <n v="9.4180502597112863"/>
  </r>
  <r>
    <n v="101202001020"/>
    <s v="ليمون 347 الخزان بيشة"/>
    <s v="LEMON 347 AL Khazzan Bisha"/>
    <x v="9"/>
    <m/>
    <s v="Street"/>
    <n v="0"/>
    <s v="BISHA"/>
    <d v="2026-02-08T00:00:00"/>
    <n v="38311.155200000001"/>
    <n v="73653.060000000012"/>
    <n v="687212.10750000004"/>
    <n v="9.3303945212866903"/>
  </r>
  <r>
    <n v="100202001030"/>
    <s v="صيدلية الحياة30"/>
    <s v="LEMON-30"/>
    <x v="8"/>
    <s v="MUSTAFA"/>
    <s v="Street"/>
    <n v="0"/>
    <s v="RIYADH"/>
    <d v="2024-08-03T00:00:00"/>
    <n v="19718.010000000002"/>
    <n v="24476.120000000006"/>
    <n v="224794.929"/>
    <n v="9.184255061668269"/>
  </r>
  <r>
    <n v="200205020100"/>
    <s v="ليمون 289 - المدينة المطل"/>
    <s v="Lemon 289 - Al Madinah Almatal"/>
    <x v="0"/>
    <m/>
    <s v="Street"/>
    <n v="0"/>
    <s v="MADINAH"/>
    <d v="2025-06-16T00:00:00"/>
    <n v="55068.667699999991"/>
    <n v="63460.81"/>
    <n v="582387.56999999995"/>
    <n v="9.1771215967776012"/>
  </r>
  <r>
    <n v="200204030046"/>
    <s v="ليمون 307- محلية جازان"/>
    <s v="Lemon 307 - Mehlyat Jazan"/>
    <x v="3"/>
    <m/>
    <s v="Street"/>
    <n v="0"/>
    <s v="JIZAN"/>
    <d v="2025-07-20T00:00:00"/>
    <n v="73402.485800000009"/>
    <n v="80134.021500000017"/>
    <n v="730362.95849999995"/>
    <n v="9.1142681326682169"/>
  </r>
  <r>
    <n v="200202001005"/>
    <s v="ليمون81  جدة بارك"/>
    <s v="Lemon 81 Jeddah Park Mall"/>
    <x v="0"/>
    <m/>
    <s v="Street"/>
    <n v="0"/>
    <s v="JEDDAH"/>
    <d v="2022-01-03T00:00:00"/>
    <n v="65056.86"/>
    <n v="86098.529999999984"/>
    <n v="775477.35250000004"/>
    <n v="9.0068593795968432"/>
  </r>
  <r>
    <n v="200201030906"/>
    <s v="ليمون 353 - الفلاح بريدة"/>
    <s v="Lemon 353 - Falah Burydah"/>
    <x v="10"/>
    <m/>
    <s v="Street"/>
    <n v="0"/>
    <s v="AL QASSIM"/>
    <d v="2026-02-09T00:00:00"/>
    <n v="62321.059600000001"/>
    <n v="72108.904800000004"/>
    <n v="638851.83499999996"/>
    <n v="8.859541505614434"/>
  </r>
  <r>
    <n v="101202001009"/>
    <s v="ليمون عوافي 9"/>
    <s v="LEMON AWAFY-09"/>
    <x v="9"/>
    <s v="MUSTAFA"/>
    <s v="Street"/>
    <n v="0"/>
    <s v="BISHA"/>
    <d v="2025-02-01T00:00:00"/>
    <n v="37249.211400000007"/>
    <n v="53423.750000000007"/>
    <n v="466109.90149999998"/>
    <n v="8.7247694424296292"/>
  </r>
  <r>
    <n v="200201010934"/>
    <s v="ليمون 214 - الافلاج"/>
    <s v="Lemon - 214 Al Aflaj"/>
    <x v="8"/>
    <m/>
    <s v="Street"/>
    <n v="0"/>
    <s v="AL AFLAJ"/>
    <d v="2024-03-10T00:00:00"/>
    <n v="83113.837000000014"/>
    <n v="74334.14"/>
    <n v="647410.76199999999"/>
    <n v="8.7094673053323817"/>
  </r>
  <r>
    <n v="200201030907"/>
    <s v="ليمون 351 - القدس القصيم"/>
    <s v="Lemon 351- Al Quds Al Qassim"/>
    <x v="10"/>
    <m/>
    <s v="Street"/>
    <n v="0"/>
    <s v="AL QASSIM"/>
    <d v="2026-04-13T00:00:00"/>
    <n v="51905.394500000002"/>
    <n v="75500.23000000001"/>
    <n v="656369.64749999996"/>
    <n v="8.6936112313830023"/>
  </r>
  <r>
    <n v="200201010962"/>
    <s v="ليمون 281 - الحياة قرطبة"/>
    <s v="Lemon 281 - Hayat  Qurtubah"/>
    <x v="11"/>
    <m/>
    <s v="Polyclinic"/>
    <n v="0"/>
    <s v="RIYADH"/>
    <d v="2025-04-07T00:00:00"/>
    <n v="56167.44"/>
    <n v="58932.669999999991"/>
    <n v="511527.0575"/>
    <n v="8.6798554604771869"/>
  </r>
  <r>
    <n v="200201010925"/>
    <s v="ليمون 205 الزلال - شارع التحلية"/>
    <s v="Lemon 205 Alzallal - Al Tahliah St"/>
    <x v="4"/>
    <m/>
    <s v="Polyclinic"/>
    <n v="0"/>
    <s v="RIYADH"/>
    <d v="2023-11-11T00:00:00"/>
    <n v="65703.12490000001"/>
    <n v="70275.482400000008"/>
    <n v="601586.26950000005"/>
    <n v="8.5604004263654829"/>
  </r>
  <r>
    <n v="200203010815"/>
    <s v="ليمون 303 - الصواري الخبر"/>
    <s v="Lemon 303 - Al sawari khobar"/>
    <x v="6"/>
    <m/>
    <s v="Street"/>
    <n v="0"/>
    <s v="DAMMAM"/>
    <d v="2025-10-02T00:00:00"/>
    <n v="56418.889900000002"/>
    <n v="74236.539199999999"/>
    <n v="634826.06000000006"/>
    <n v="8.5513962105604193"/>
  </r>
  <r>
    <n v="200204030057"/>
    <s v="ليمون 325 - عسير احد 2 رفيدة"/>
    <s v="Lemon 325 Asir - Ahad Rafidah 2"/>
    <x v="7"/>
    <m/>
    <s v="Street"/>
    <n v="0"/>
    <s v="ABHA-KHAMIS"/>
    <d v="2025-11-03T00:00:00"/>
    <n v="69468.854199999987"/>
    <n v="81048.5"/>
    <n v="688709.10549999995"/>
    <n v="8.4974935439890924"/>
  </r>
  <r>
    <n v="200205020300"/>
    <s v="ليمون 354 - السكة الحديد المدينة المنورة"/>
    <s v="Lemon 354 - Sikkah Al Hadid Al Madinah"/>
    <x v="0"/>
    <m/>
    <s v="Street"/>
    <n v="0"/>
    <s v="MADINAH"/>
    <d v="2026-02-25T00:00:00"/>
    <n v="60519.996399999989"/>
    <n v="70681.572599999985"/>
    <n v="599200.81999999995"/>
    <n v="8.4774687087253646"/>
  </r>
  <r>
    <n v="200204030062"/>
    <s v="ليمون 365 - العمارة خميس مشيط"/>
    <s v="Lemon 365 - Al Amarah Khamis Mushait"/>
    <x v="7"/>
    <m/>
    <s v="Street"/>
    <n v="0"/>
    <s v="ABHA-KHAMIS"/>
    <d v="2026-04-19T00:00:00"/>
    <n v="46090.84"/>
    <n v="74803.58"/>
    <n v="622299.80000000005"/>
    <n v="8.3191178817912199"/>
  </r>
  <r>
    <n v="200204030056"/>
    <s v="ليمون 310 الجوافه نجران"/>
    <s v="Lemon 310 Guava Najran"/>
    <x v="3"/>
    <m/>
    <s v="Street"/>
    <n v="0"/>
    <s v="NAJRAN"/>
    <d v="2025-12-14T00:00:00"/>
    <n v="86715.631500000018"/>
    <n v="90681.477000000014"/>
    <n v="748589.00249999994"/>
    <n v="8.2551478787669037"/>
  </r>
  <r>
    <n v="200204030054"/>
    <s v="ليمون 333حي الشاطئ جازان"/>
    <s v="Lemon 333 Al-Shatea Jazan"/>
    <x v="3"/>
    <m/>
    <s v="Street"/>
    <n v="0"/>
    <s v="JIZAN"/>
    <d v="2025-11-04T00:00:00"/>
    <n v="99193.709799999997"/>
    <n v="102398.3765"/>
    <n v="841695.53599999996"/>
    <n v="8.2198132897155851"/>
  </r>
  <r>
    <n v="200205010923"/>
    <s v="ليمون 326 - رفحاء الميج"/>
    <s v="Lemon 326 Rafha Al-Maj"/>
    <x v="2"/>
    <m/>
    <s v="Street"/>
    <n v="0"/>
    <s v="RAFHA"/>
    <d v="2025-10-29T00:00:00"/>
    <n v="67420.652000000002"/>
    <n v="78205.98000000001"/>
    <n v="642290.92500000005"/>
    <n v="8.2128109001383258"/>
  </r>
  <r>
    <n v="200202001029"/>
    <s v="ليمون 296 -جدة مخطط الرياض 2"/>
    <s v="Lemon 296 -Jeddah Riyadh Dist. 2"/>
    <x v="0"/>
    <m/>
    <s v="Street"/>
    <n v="0"/>
    <s v="JEDDAH"/>
    <d v="2025-06-20T00:00:00"/>
    <n v="66315.293799999985"/>
    <n v="75490.240000000005"/>
    <n v="611930.8175"/>
    <n v="8.1060918272348843"/>
  </r>
  <r>
    <n v="200201030500"/>
    <s v="ليمون 138 م ادراك بريدة"/>
    <s v="Lemon 138 - E Edrak Buraydah"/>
    <x v="12"/>
    <m/>
    <s v="Polyclinic"/>
    <n v="0"/>
    <s v="AL QASSIM"/>
    <d v="2023-03-22T00:00:00"/>
    <n v="27873.191799999997"/>
    <n v="32187.785250000001"/>
    <n v="257715.38225"/>
    <n v="8.0066205316192107"/>
  </r>
  <r>
    <n v="200201030903"/>
    <s v="ليمون 343 - البدائع 4 القصيم"/>
    <s v="Lemon 343 - Al Badayea 4 Al Qassim"/>
    <x v="10"/>
    <m/>
    <s v="Street"/>
    <n v="0"/>
    <s v="AL QASSIM"/>
    <d v="2025-12-26T00:00:00"/>
    <n v="71896.300699999993"/>
    <n v="93698.84169999999"/>
    <n v="744036.27899999998"/>
    <n v="7.9407201359245834"/>
  </r>
  <r>
    <n v="200203010803"/>
    <s v="ليمون 220 - المطيرفي"/>
    <s v="Lemon 220 - Almutayrifi"/>
    <x v="6"/>
    <s v="MUSTAFA"/>
    <s v="Street"/>
    <n v="0"/>
    <s v="DAMMAM"/>
    <d v="2024-03-01T00:00:00"/>
    <n v="58740.827200000007"/>
    <n v="61059.93"/>
    <n v="477458.43849999999"/>
    <n v="7.8195051730324616"/>
  </r>
  <r>
    <n v="200203010700"/>
    <s v="ليمون 197 - الحمراء الدمام"/>
    <s v="Lemon 197 - Al Hamra Dammam"/>
    <x v="6"/>
    <s v="MUSTAFA"/>
    <s v="Street"/>
    <n v="0"/>
    <s v="DAMMAM"/>
    <d v="2024-01-23T00:00:00"/>
    <n v="72550.637099999993"/>
    <n v="69246.890000000029"/>
    <n v="541401.23499999999"/>
    <n v="7.8184194986951727"/>
  </r>
  <r>
    <n v="200204030053"/>
    <s v="ليمون 305 - حي الجامعة نجران"/>
    <s v="Lemon 305 - Jamiaa Najran"/>
    <x v="3"/>
    <m/>
    <s v="Street"/>
    <n v="0"/>
    <s v="NAJRAN"/>
    <d v="2025-11-11T00:00:00"/>
    <n v="81992.829100000017"/>
    <n v="95775.21"/>
    <n v="735859.5"/>
    <n v="7.683193803490485"/>
  </r>
  <r>
    <n v="200205010911"/>
    <s v="ليمون 248 - مستوصف الرازي"/>
    <s v="Lemon - 248 Al Razi Polyclinic"/>
    <x v="12"/>
    <m/>
    <s v="Polyclinic"/>
    <n v="0"/>
    <s v="HAIL"/>
    <d v="2024-08-28T00:00:00"/>
    <n v="43893.877499999981"/>
    <n v="48344.634999999995"/>
    <n v="369979.201"/>
    <n v="7.6529526182170997"/>
  </r>
  <r>
    <n v="200205010913"/>
    <s v="ليمون 270 - الروابي عرعر"/>
    <s v="Lemon 270 - Arwabi Arar"/>
    <x v="2"/>
    <s v="MUSTAFA"/>
    <s v="Street"/>
    <n v="0"/>
    <s v="ARAR"/>
    <d v="2025-04-28T00:00:00"/>
    <n v="69745.861099999995"/>
    <n v="78899.060000000012"/>
    <n v="603739.78150000004"/>
    <n v="7.6520529078546682"/>
  </r>
  <r>
    <n v="200202001015"/>
    <s v="ليمون 174 - الياقوت"/>
    <s v="Lemon 174 - Al Yaqoot"/>
    <x v="0"/>
    <s v="MUSTAFA"/>
    <s v="Street"/>
    <n v="0"/>
    <s v="JEDDAH"/>
    <d v="2023-08-16T00:00:00"/>
    <n v="63339.170099999988"/>
    <n v="65427.08"/>
    <n v="500391.87800000003"/>
    <n v="7.6480851353904225"/>
  </r>
  <r>
    <n v="200205010908"/>
    <s v="ليمون 215 - المنصورية عرعر"/>
    <s v="Lemon 215 - Mansouria Arar"/>
    <x v="2"/>
    <s v="MUSTAFA"/>
    <s v="Street"/>
    <n v="0"/>
    <s v="ARAR"/>
    <d v="2024-06-27T00:00:00"/>
    <n v="70499.310700000031"/>
    <n v="68439.81"/>
    <n v="518510.39"/>
    <n v="7.5761518040450442"/>
  </r>
  <r>
    <n v="200202001007"/>
    <s v="ليمون 123 حي الرحمانية  جدة"/>
    <s v="Lemon 123 Jeddah Alrahmania"/>
    <x v="0"/>
    <m/>
    <s v="Street"/>
    <n v="0"/>
    <s v="JEDDAH"/>
    <d v="2022-09-05T00:00:00"/>
    <n v="103602.23510000002"/>
    <n v="110927.44"/>
    <n v="835991.23300000001"/>
    <n v="7.5363790329967051"/>
  </r>
  <r>
    <n v="200204030028"/>
    <s v="ليمون 217 - الفيصلية نجران"/>
    <s v="Lemon 217 - Al Faisaliah Najran"/>
    <x v="3"/>
    <s v="MUSTAFA"/>
    <s v="Street"/>
    <n v="0"/>
    <s v="NAJRAN"/>
    <d v="2024-03-25T00:00:00"/>
    <n v="44533.775600000001"/>
    <n v="63056.879999999983"/>
    <n v="474804.79350000003"/>
    <n v="7.5297857030033857"/>
  </r>
  <r>
    <n v="200204010007"/>
    <s v="ليمون 337 - الغدير أبها"/>
    <s v="Lemon 337 - Ghadir Abha"/>
    <x v="7"/>
    <m/>
    <s v="Street"/>
    <n v="0"/>
    <s v="ABHA-KHAMIS"/>
    <d v="2025-11-18T00:00:00"/>
    <n v="61850.682400000012"/>
    <n v="87494.459099999993"/>
    <n v="657940.86499999999"/>
    <n v="7.5198003595635701"/>
  </r>
  <r>
    <n v="200204030020"/>
    <s v="ليمون 168 - محايل الغنيم"/>
    <s v="Lemon 168 - Mohayel Ghonaim"/>
    <x v="3"/>
    <s v="MUSTAFA"/>
    <s v="Street"/>
    <n v="0"/>
    <s v="JIZAN"/>
    <d v="2023-08-23T00:00:00"/>
    <n v="73414.928900000014"/>
    <n v="69925.207000000009"/>
    <n v="525162.89500000002"/>
    <n v="7.5103516676039295"/>
  </r>
  <r>
    <n v="200204030005"/>
    <s v="ليمون 83 المضاية جازان"/>
    <s v="Lemon 83 Jizan Madhayah"/>
    <x v="3"/>
    <s v="MUSTAFA"/>
    <s v="Street"/>
    <n v="0"/>
    <s v="JIZAN"/>
    <d v="2021-08-01T00:00:00"/>
    <n v="64802.263500000001"/>
    <n v="69898.032149999999"/>
    <n v="523586.74534999998"/>
    <n v="7.4907222599112897"/>
  </r>
  <r>
    <n v="200205010919"/>
    <s v="ليمون 318 - الرصف حائل"/>
    <s v="Lemon 318 - Al Rasf Hail"/>
    <x v="2"/>
    <m/>
    <s v="Street"/>
    <n v="0"/>
    <s v="HAIL"/>
    <d v="2025-09-10T00:00:00"/>
    <n v="74965.636299999998"/>
    <n v="105893.2715"/>
    <n v="785599.51549999998"/>
    <n v="7.4187859565751539"/>
  </r>
  <r>
    <n v="100202001006"/>
    <s v="صيدلية ليمون 06"/>
    <s v="LEMON-06"/>
    <x v="1"/>
    <m/>
    <s v="Street"/>
    <n v="0"/>
    <s v="RIYADH"/>
    <d v="2018-01-01T00:00:00"/>
    <n v="69251.810200000007"/>
    <n v="67418.459999999977"/>
    <n v="499926.31699999998"/>
    <n v="7.4152734577443651"/>
  </r>
  <r>
    <n v="200204030040"/>
    <s v="ليمون 286 - السد خميس مشيط"/>
    <s v="Lemon 286- Al Sad Khamis Mesheat"/>
    <x v="7"/>
    <m/>
    <s v="Street"/>
    <n v="0"/>
    <s v="ABHA-KHAMIS"/>
    <d v="2025-05-26T00:00:00"/>
    <n v="86871.498399999982"/>
    <n v="93239.890000000014"/>
    <n v="687322.32"/>
    <n v="7.3715479501316423"/>
  </r>
  <r>
    <n v="200204030026"/>
    <s v="ليمون 219 - الخالدية نجران"/>
    <s v="Lemon 219 - Al Khaldiyyah Najran"/>
    <x v="3"/>
    <m/>
    <s v="Street"/>
    <n v="0"/>
    <s v="NAJRAN"/>
    <d v="2024-03-19T00:00:00"/>
    <n v="70871.290200000003"/>
    <n v="100006.08999999998"/>
    <n v="734529.05550000002"/>
    <n v="7.3448432540458297"/>
  </r>
  <r>
    <n v="200201030904"/>
    <s v="ليمون 348 - البدائع 5 القصيم"/>
    <s v="Lemon 348 - Al Badayea 5 Al Qassim"/>
    <x v="10"/>
    <m/>
    <s v="Street"/>
    <n v="0"/>
    <s v="AL QASSIM"/>
    <d v="2026-01-10T00:00:00"/>
    <n v="84236.084099999993"/>
    <n v="100672.60999999999"/>
    <n v="737864.51300000004"/>
    <n v="7.3293472077459807"/>
  </r>
  <r>
    <n v="200202001020"/>
    <s v="ليمون 196 - الشراع 3"/>
    <s v="Lemon 196 - Al Sheraa 3"/>
    <x v="0"/>
    <m/>
    <s v="Street"/>
    <n v="0"/>
    <s v="JEDDAH"/>
    <d v="2024-02-11T00:00:00"/>
    <n v="84619.470100000006"/>
    <n v="93417.79"/>
    <n v="683882.30599999998"/>
    <n v="7.3206859849713855"/>
  </r>
  <r>
    <n v="200205010300"/>
    <s v="ليمون 199 اريج الدواء - الفيصليه"/>
    <s v="Lemon 199 Areej Al Dawaa - Al Faisaliyyah"/>
    <x v="4"/>
    <m/>
    <s v="Polyclinic"/>
    <n v="0"/>
    <s v="TABUK"/>
    <d v="2023-10-28T00:00:00"/>
    <n v="40638.555899999985"/>
    <n v="50653.810000000005"/>
    <n v="367463.35"/>
    <n v="7.2544069241780615"/>
  </r>
  <r>
    <n v="200205010915"/>
    <s v="ليمون 260 - البوادي تبوك"/>
    <s v="Lemon 260 - Bawady Tabuk"/>
    <x v="2"/>
    <m/>
    <s v="Street"/>
    <n v="0"/>
    <s v="TABUK"/>
    <d v="2025-05-15T00:00:00"/>
    <n v="106175.02960000002"/>
    <n v="95317.996999999974"/>
    <n v="674511.39"/>
    <n v="7.0764326908799839"/>
  </r>
  <r>
    <n v="200201010400"/>
    <s v="ليمون 107 شارع بلال بن رباح"/>
    <s v="Lemon 107 Bilal Bin Rabah"/>
    <x v="5"/>
    <s v="MUSTAFA"/>
    <s v="Street"/>
    <n v="0"/>
    <s v="RIYADH"/>
    <d v="2021-12-10T00:00:00"/>
    <n v="74141.454100000003"/>
    <n v="69493.407000000007"/>
    <n v="489967.5845"/>
    <n v="7.0505621418158411"/>
  </r>
  <r>
    <n v="200204030039"/>
    <s v="ليمون 285 - تاره خميس مشيط"/>
    <s v="Lemon 285 - Tara Khamis Mesheat"/>
    <x v="7"/>
    <m/>
    <s v="Street"/>
    <n v="0"/>
    <s v="ABHA-KHAMIS"/>
    <d v="2025-05-19T00:00:00"/>
    <n v="80897.386599999998"/>
    <n v="95409.479999999981"/>
    <n v="670966.84750000003"/>
    <n v="7.0324966397469115"/>
  </r>
  <r>
    <n v="200201010920"/>
    <s v="ليمون 165 - عناية و نضارة"/>
    <s v="Lemon 165 - Enaya &amp; Nadara"/>
    <x v="4"/>
    <m/>
    <s v="Polyclinic"/>
    <n v="0"/>
    <s v="RIYADH"/>
    <d v="2023-07-21T00:00:00"/>
    <n v="62450.486000000004"/>
    <n v="70433.449999999983"/>
    <n v="490790.36"/>
    <n v="6.9681431194979107"/>
  </r>
  <r>
    <n v="200205020500"/>
    <s v="ليمون 370 - الحرم النبوي المدينة المنورة"/>
    <s v="Lemon 370 - Al Haram Al Madinah"/>
    <x v="0"/>
    <m/>
    <s v="Street"/>
    <n v="0"/>
    <s v="MADINAH"/>
    <d v="2026-06-20T00:00:00"/>
    <n v="8870.630000000001"/>
    <n v="87923.159999999989"/>
    <n v="611110.81000000006"/>
    <n v="6.9505100817577548"/>
  </r>
  <r>
    <n v="200205010922"/>
    <s v="ليمون 329 - الصفا تبوك"/>
    <s v="Lemon 329 - Alsafa Tabuk"/>
    <x v="2"/>
    <m/>
    <s v="Street"/>
    <n v="0"/>
    <s v="TABUK"/>
    <d v="2025-10-18T00:00:00"/>
    <n v="88335.903000000006"/>
    <n v="97983.472499999974"/>
    <n v="674781.54"/>
    <n v="6.8866873441334731"/>
  </r>
  <r>
    <n v="200204030045"/>
    <s v="ليمون  290 - سراة عبيدة 2"/>
    <s v="Lemon 290 - Sarat Obida 2"/>
    <x v="7"/>
    <m/>
    <s v="Street"/>
    <n v="0"/>
    <s v="ABHA-KHAMIS"/>
    <d v="2025-06-11T00:00:00"/>
    <n v="50613.773099999999"/>
    <n v="83005.87"/>
    <n v="567453.42150000005"/>
    <n v="6.8363047276054099"/>
  </r>
  <r>
    <n v="200205010921"/>
    <s v="ليمون 327 - مروج الأمير تبوك"/>
    <s v="Lemon 327 - murujal amir Tabuk"/>
    <x v="2"/>
    <m/>
    <s v="Street"/>
    <n v="0"/>
    <s v="TABUK"/>
    <d v="2025-12-21T00:00:00"/>
    <n v="79558.218899999978"/>
    <n v="107835.39749999996"/>
    <n v="736274.55500000005"/>
    <n v="6.8277631656154494"/>
  </r>
  <r>
    <n v="100302001022"/>
    <s v="صيدلية  ليمون 50"/>
    <s v="Lemon 50"/>
    <x v="6"/>
    <s v="MUSTAFA"/>
    <s v="Street"/>
    <n v="0"/>
    <s v="HAFAR AL BATIN"/>
    <d v="2018-01-01T00:00:00"/>
    <n v="87034.598099999988"/>
    <n v="94208.485899999985"/>
    <n v="641966.42949999997"/>
    <n v="6.8143163895175185"/>
  </r>
  <r>
    <n v="200201060600"/>
    <s v="ليمون 331 - فيولا المجمعة"/>
    <s v="Lemon 331 - Viola Majmaah"/>
    <x v="11"/>
    <m/>
    <s v="Polyclinic"/>
    <n v="0"/>
    <s v="AL MAJMA'AH"/>
    <d v="2025-11-12T00:00:00"/>
    <n v="94126.14499999999"/>
    <n v="106588.11250000002"/>
    <n v="723321.66850000003"/>
    <n v="6.7861382619004527"/>
  </r>
  <r>
    <n v="200205010600"/>
    <s v="ليمون 200 درة القاضي - ش الأمير ع"/>
    <s v="Lemon 200 Durrat Al Qady - Abdul Majeed St."/>
    <x v="4"/>
    <m/>
    <s v="Polyclinic"/>
    <n v="0"/>
    <s v="TABUK"/>
    <d v="2023-10-28T00:00:00"/>
    <n v="37828.114000000001"/>
    <n v="45943.08"/>
    <n v="311744.45"/>
    <n v="6.7854495170981135"/>
  </r>
  <r>
    <n v="200202001016"/>
    <s v="ليمون 183 - جبل النور"/>
    <s v="Lemon 183 - Jabal Al Nour"/>
    <x v="0"/>
    <m/>
    <s v="Street"/>
    <n v="0"/>
    <s v="MAKKAH"/>
    <d v="2023-12-15T00:00:00"/>
    <n v="86013.341200000024"/>
    <n v="96213.63999999997"/>
    <n v="652702.13650000002"/>
    <n v="6.7838836208670648"/>
  </r>
  <r>
    <n v="200204030035"/>
    <s v="ليمون 263 - بن هشبل"/>
    <s v="Lemon 263 - Bin Hashbal"/>
    <x v="9"/>
    <s v="MUSTAFA"/>
    <s v="Street"/>
    <n v="0"/>
    <s v="ABHA-KHAMIS"/>
    <d v="2025-02-10T00:00:00"/>
    <n v="45195.889999999992"/>
    <n v="68170.289999999994"/>
    <n v="456643.92249999999"/>
    <n v="6.6985767920306634"/>
  </r>
  <r>
    <n v="200202001024"/>
    <s v="ليمون 240 ابحر الشمالية"/>
    <s v="Lemon 240 - Obhor Shamalya"/>
    <x v="0"/>
    <s v="MUSTAFA"/>
    <s v="Street"/>
    <n v="0"/>
    <s v="JEDDAH"/>
    <d v="2024-06-19T00:00:00"/>
    <n v="81471.183200000014"/>
    <n v="83273.999999999985"/>
    <n v="554707.66799999995"/>
    <n v="6.6612348151884149"/>
  </r>
  <r>
    <n v="200201050600"/>
    <s v="ليمون  163 - الرس"/>
    <s v="Lemon 163 - Al Ras"/>
    <x v="10"/>
    <m/>
    <s v="Street"/>
    <n v="0"/>
    <s v="AL QASSIM"/>
    <d v="2023-06-09T00:00:00"/>
    <n v="90509.468099999984"/>
    <n v="105322.29999999999"/>
    <n v="696866.35349999997"/>
    <n v="6.6165128704937137"/>
  </r>
  <r>
    <n v="200204030014"/>
    <s v="ليمون 159 - الضيافة"/>
    <s v="Lemon 159 - Al Dyafah"/>
    <x v="7"/>
    <s v="MUSTAFA"/>
    <s v="Street"/>
    <n v="0"/>
    <s v="ABHA-KHAMIS"/>
    <d v="2023-05-09T00:00:00"/>
    <n v="73384.225200000001"/>
    <n v="96130.799699999989"/>
    <n v="635522.74800000002"/>
    <n v="6.6110211293706742"/>
  </r>
  <r>
    <n v="100802001004"/>
    <s v="ليمون صحة 14"/>
    <s v="LEMON SEHA-14"/>
    <x v="1"/>
    <s v="MUSTAFA"/>
    <s v="Street"/>
    <n v="0"/>
    <s v="RIYADH"/>
    <d v="2018-02-01T00:00:00"/>
    <n v="136455.0925"/>
    <n v="98452.9"/>
    <n v="645817.71499999997"/>
    <n v="6.5596616757860868"/>
  </r>
  <r>
    <n v="200204030043"/>
    <s v="ليمون 293 - ظهران الجنوب حي الرحيب عسير"/>
    <s v="Lemon 293 - Zahran Al  Janub"/>
    <x v="3"/>
    <m/>
    <s v="Street"/>
    <n v="0"/>
    <s v="JIZAN"/>
    <d v="2025-05-27T00:00:00"/>
    <n v="79138.559500000018"/>
    <n v="100609.09999999998"/>
    <n v="657271.39"/>
    <n v="6.5329218728723362"/>
  </r>
  <r>
    <n v="200201060100"/>
    <s v="ليمون 140 المجمعة مستشفي الولادة"/>
    <s v="Lemon 140 Almajama Alwelada H"/>
    <x v="10"/>
    <s v="MUSTAFA"/>
    <s v="Street"/>
    <n v="0"/>
    <s v="AL MAJMA'AH"/>
    <d v="2023-03-21T00:00:00"/>
    <n v="96753.814700000017"/>
    <n v="106742.65049999997"/>
    <n v="691200.28749999998"/>
    <n v="6.4753899613913006"/>
  </r>
  <r>
    <n v="200202001013"/>
    <s v="ليمون 158 - الفلاح 2"/>
    <s v="Lemon 158 - Al Falah 2"/>
    <x v="0"/>
    <m/>
    <s v="Street"/>
    <n v="0"/>
    <s v="JEDDAH"/>
    <d v="2023-05-23T00:00:00"/>
    <n v="112606.23509999999"/>
    <n v="96122.1"/>
    <n v="619938.86899999995"/>
    <n v="6.4494936024077703"/>
  </r>
  <r>
    <n v="200201060300"/>
    <s v="ليمون 193 - مجمع المجمعه"/>
    <s v="Lemon 193 - Al Majmah Polyclinic"/>
    <x v="11"/>
    <m/>
    <s v="Polyclinic"/>
    <n v="0"/>
    <s v="AL MAJMA'AH"/>
    <d v="2023-10-19T00:00:00"/>
    <n v="103322.57700000002"/>
    <n v="98175.989999999976"/>
    <n v="632457.52850000001"/>
    <n v="6.4420794585315635"/>
  </r>
  <r>
    <n v="200205010912"/>
    <s v="ليمون 257 - المروج 2 عرعر"/>
    <s v="Lemon 257 - Mrooj 2 Arar"/>
    <x v="2"/>
    <s v="MUSTAFA"/>
    <s v="Street"/>
    <n v="0"/>
    <s v="ARAR"/>
    <d v="2025-01-12T00:00:00"/>
    <n v="65302.739900000008"/>
    <n v="80302.229999999967"/>
    <n v="515784.72499999998"/>
    <n v="6.4230436066345877"/>
  </r>
  <r>
    <n v="200201030905"/>
    <s v="ليمون 340 - الأفق القصيم"/>
    <s v="Lemon 340 - Al Ufuq Al Qassim"/>
    <x v="10"/>
    <m/>
    <s v="Street"/>
    <n v="0"/>
    <s v="AL QASSIM"/>
    <d v="2026-01-12T00:00:00"/>
    <n v="68701.887199999997"/>
    <n v="84969.392500000002"/>
    <n v="544565.22750000004"/>
    <n v="6.4089575254995497"/>
  </r>
  <r>
    <n v="200201030902"/>
    <s v="ليمون 339 - الرفيعة بريدة"/>
    <s v="Lemon 339 - Rafiaah Buraydah"/>
    <x v="10"/>
    <m/>
    <s v="Street"/>
    <n v="0"/>
    <s v="AL QASSIM"/>
    <d v="2025-11-26T00:00:00"/>
    <n v="120699.64939999998"/>
    <n v="138167.67249999996"/>
    <n v="883846.95"/>
    <n v="6.3969156750469267"/>
  </r>
  <r>
    <n v="200204030055"/>
    <s v="ليمون 356 - أحد رفيدة 3"/>
    <s v="Lemon 356 - Ahd Rofaidah 3"/>
    <x v="7"/>
    <m/>
    <s v="Street"/>
    <n v="0"/>
    <s v="ABHA-KHAMIS"/>
    <d v="2026-02-11T00:00:00"/>
    <n v="44351.0959"/>
    <n v="110056.81999999999"/>
    <n v="699587.78200000001"/>
    <n v="6.3566054516203545"/>
  </r>
  <r>
    <n v="200201010907"/>
    <s v="ليمون 149 الماسي"/>
    <s v="Lemon 149 -AL-Almasi 2"/>
    <x v="4"/>
    <m/>
    <s v="Polyclinic"/>
    <n v="0"/>
    <s v="RIYADH"/>
    <d v="2023-01-30T00:00:00"/>
    <n v="144941.5177"/>
    <n v="118052.38500000001"/>
    <n v="747838.41500000004"/>
    <n v="6.3348014104077608"/>
  </r>
  <r>
    <n v="200204030010"/>
    <s v="ليمون 118 الدرب  جازان"/>
    <s v="Lemon 118 Dareb"/>
    <x v="3"/>
    <m/>
    <s v="Street"/>
    <n v="0"/>
    <s v="JIZAN"/>
    <d v="2022-07-28T00:00:00"/>
    <n v="99196.173800000004"/>
    <n v="105257.78000000003"/>
    <n v="663505.50100000005"/>
    <n v="6.3036243116660815"/>
  </r>
  <r>
    <n v="200203020100"/>
    <s v="ليمون 69 مجمع توليب"/>
    <s v="Lemon 69 Tulip Polyclinic"/>
    <x v="13"/>
    <m/>
    <s v="Polyclinic"/>
    <n v="0"/>
    <s v="HAFAR AL BATIN"/>
    <d v="2024-04-29T00:00:00"/>
    <n v="60212.6325"/>
    <n v="71263.099999999991"/>
    <n v="447925.14549999998"/>
    <n v="6.2855130565467965"/>
  </r>
  <r>
    <n v="200205010100"/>
    <s v="ليمون 161 - الجامعيين"/>
    <s v="Lemon 161 - Al Jam'een"/>
    <x v="2"/>
    <s v="MUSTAFA"/>
    <s v="Street"/>
    <n v="0"/>
    <s v="HAIL"/>
    <d v="2023-10-06T00:00:00"/>
    <n v="63733.445299999985"/>
    <n v="78477.919999999984"/>
    <n v="493262.85950000002"/>
    <n v="6.2853712165154239"/>
  </r>
  <r>
    <n v="200204030037"/>
    <s v="ليمون 273 - آل بريد"/>
    <s v="Lemon 273 - Al Braid"/>
    <x v="7"/>
    <s v="MUSTAFA"/>
    <s v="Street"/>
    <n v="0"/>
    <s v="ABHA-KHAMIS"/>
    <d v="2025-04-03T00:00:00"/>
    <n v="58598.049299999991"/>
    <n v="92391.695099999997"/>
    <n v="578369.23"/>
    <n v="6.2599698963635531"/>
  </r>
  <r>
    <n v="200203010400"/>
    <s v="ليمون 98 - سيهات 2"/>
    <s v="Lemon 98 - Saihat 2"/>
    <x v="6"/>
    <s v="MUSTAFA"/>
    <s v="Street"/>
    <n v="0"/>
    <s v="DAMMAM"/>
    <d v="2024-01-03T00:00:00"/>
    <n v="112010.61190000002"/>
    <n v="94949.2"/>
    <n v="594014.97"/>
    <n v="6.2561345435243263"/>
  </r>
  <r>
    <n v="200201040300"/>
    <s v="ليمون 346 الريان عنيزة"/>
    <s v="Lemon 346 Al Rayyan Unaizah"/>
    <x v="10"/>
    <m/>
    <s v="Street"/>
    <n v="0"/>
    <s v="AL QASSIM"/>
    <d v="2026-02-08T00:00:00"/>
    <n v="88351.42349999999"/>
    <n v="114171.47149999997"/>
    <n v="710945.34"/>
    <n v="6.2269963823668517"/>
  </r>
  <r>
    <n v="200204030047"/>
    <s v="ليمون 302 - ممشى الراقي"/>
    <s v="Lemon 302 - Mamsha Al Raqi"/>
    <x v="9"/>
    <m/>
    <s v="Street"/>
    <n v="0"/>
    <s v="ABHA-KHAMIS"/>
    <d v="2025-07-22T00:00:00"/>
    <n v="72289.675999999992"/>
    <n v="118775.64699999998"/>
    <n v="739102.42299999995"/>
    <n v="6.222676463298912"/>
  </r>
  <r>
    <n v="200202001027"/>
    <s v="ليمون 255 - العابر"/>
    <s v="Lemon 255 - Aber"/>
    <x v="0"/>
    <m/>
    <s v="Street"/>
    <n v="0"/>
    <s v="JEDDAH"/>
    <d v="2024-12-03T00:00:00"/>
    <n v="117983.8841"/>
    <n v="111635.84500000002"/>
    <n v="690001.66"/>
    <n v="6.1808253433294649"/>
  </r>
  <r>
    <n v="200204030031"/>
    <s v="ليمون 252 - شارع 80 خميس مشيط"/>
    <s v="Lemon 252 - 80th St. Khamis Mesheat"/>
    <x v="9"/>
    <s v="MUSTAFA"/>
    <s v="Street"/>
    <n v="0"/>
    <s v="ABHA-KHAMIS"/>
    <d v="2024-11-03T00:00:00"/>
    <n v="88642.169299999994"/>
    <n v="93802.619999999981"/>
    <n v="579511.77249999996"/>
    <n v="6.1779913236965029"/>
  </r>
  <r>
    <n v="200204030002"/>
    <s v="ليمون 85 بيش جازان"/>
    <s v="Lemon 85 Jizan Bish"/>
    <x v="3"/>
    <m/>
    <s v="Street"/>
    <n v="0"/>
    <s v="JIZAN"/>
    <d v="2021-08-10T00:00:00"/>
    <n v="85449.199700000012"/>
    <n v="103498.37999999999"/>
    <n v="636590.84550000005"/>
    <n v="6.1507324607399667"/>
  </r>
  <r>
    <n v="200201010965"/>
    <s v="ليمون 314 - طويق 5"/>
    <s v="Lemon 314 - Twaiq  5"/>
    <x v="5"/>
    <m/>
    <s v="Street"/>
    <n v="0"/>
    <s v="RIYADH"/>
    <d v="2025-09-08T00:00:00"/>
    <n v="78379.288800000009"/>
    <n v="112024.83000000002"/>
    <n v="688698.28500000003"/>
    <n v="6.1477289008160056"/>
  </r>
  <r>
    <n v="100502001002"/>
    <s v="ليمون 62 الغدير"/>
    <s v="LEMON-62"/>
    <x v="14"/>
    <m/>
    <s v="Street"/>
    <n v="0"/>
    <s v="RIYADH"/>
    <d v="2018-01-01T00:00:00"/>
    <n v="113636.7659"/>
    <n v="104263.06000000003"/>
    <n v="639615.22"/>
    <n v="6.134629273301587"/>
  </r>
  <r>
    <n v="200201010960"/>
    <s v="ليمون 277 - ابو هريرة"/>
    <s v="Lemon 277 - Abu Hurayra"/>
    <x v="1"/>
    <m/>
    <s v="Street"/>
    <n v="0"/>
    <s v="RIYADH"/>
    <d v="2025-03-04T00:00:00"/>
    <n v="133558.44680000001"/>
    <n v="121624.89"/>
    <n v="745332.99750000006"/>
    <n v="6.1281288517506578"/>
  </r>
  <r>
    <n v="200204030013"/>
    <s v="ليمون 157 - احد المسارحه"/>
    <s v="Lemon 157 - Ahd Almasrha"/>
    <x v="3"/>
    <s v="MUSTAFA"/>
    <s v="Street"/>
    <n v="0"/>
    <s v="JIZAN"/>
    <d v="2023-05-14T00:00:00"/>
    <n v="107725.27169999998"/>
    <n v="127592.22999999998"/>
    <n v="774436.79799999995"/>
    <n v="6.0696235029358769"/>
  </r>
  <r>
    <n v="200203010811"/>
    <s v="ليمون 282 - مجمع الخليج الاحساء"/>
    <s v="Lemon 282 - Al Khaleej Polyclinic Ahsa"/>
    <x v="13"/>
    <m/>
    <s v="Polyclinic"/>
    <n v="0"/>
    <s v="DAMMAM"/>
    <d v="2025-02-03T00:00:00"/>
    <n v="106579.00869999999"/>
    <n v="101890.48499999999"/>
    <n v="617818.52"/>
    <n v="6.0635546096379862"/>
  </r>
  <r>
    <n v="200201030901"/>
    <s v="ليمون 328 بريدة الحزم"/>
    <s v="Lemon 328 Buraydah Al-Hazm"/>
    <x v="10"/>
    <m/>
    <s v="Street"/>
    <n v="0"/>
    <s v="AL QASSIM"/>
    <d v="2025-10-06T00:00:00"/>
    <n v="105832.68985000001"/>
    <n v="126745.43519999999"/>
    <n v="766988.44134999998"/>
    <n v="6.0514087954309224"/>
  </r>
  <r>
    <n v="200201010967"/>
    <s v="ليمون 324 مجمع الرؤية الطبي"/>
    <s v="lemon 324 Alroaya Medical Complex"/>
    <x v="12"/>
    <m/>
    <s v="Polyclinic"/>
    <n v="0"/>
    <s v="RIYADH"/>
    <d v="2025-09-16T00:00:00"/>
    <n v="147223.52569999997"/>
    <n v="142266.995"/>
    <n v="860471.00600000005"/>
    <n v="6.0482827095631002"/>
  </r>
  <r>
    <n v="200204030044"/>
    <s v="ليمون 295 - الموسى خميس مشيط"/>
    <s v="Lemon 295 - Al Mousa Khamis Mesheat"/>
    <x v="9"/>
    <m/>
    <s v="Street"/>
    <n v="0"/>
    <s v="ABHA-KHAMIS"/>
    <d v="2025-06-11T00:00:00"/>
    <n v="82411.349499999997"/>
    <n v="104242.45349999999"/>
    <n v="630014.04299999995"/>
    <n v="6.0437376697009535"/>
  </r>
  <r>
    <n v="200202001025"/>
    <s v="ليمون 234 - السنابل 2"/>
    <s v="Lemon 234 - Sanabel 2"/>
    <x v="0"/>
    <m/>
    <s v="Street"/>
    <n v="0"/>
    <s v="JEDDAH"/>
    <d v="2024-06-30T00:00:00"/>
    <n v="81409.045200000022"/>
    <n v="114304.45"/>
    <n v="690311.84199999995"/>
    <n v="6.0392385598285978"/>
  </r>
  <r>
    <n v="200204030030"/>
    <s v="ليمون 249 - التحلية خميس مشيط"/>
    <s v="Lemon 249 - Tahliah Khamis Mesheat"/>
    <x v="7"/>
    <s v="MUSTAFA"/>
    <s v="Street"/>
    <n v="0"/>
    <s v="ABHA-KHAMIS"/>
    <d v="2024-10-08T00:00:00"/>
    <n v="72819.730100000015"/>
    <n v="91443.837500000009"/>
    <n v="546690.44400000002"/>
    <n v="5.9784284971636277"/>
  </r>
  <r>
    <n v="200201010906"/>
    <s v="ليمون 132 الغروب"/>
    <s v="Lemon 132 -AL-Ghoroub"/>
    <x v="5"/>
    <s v="MUSTAFA"/>
    <s v="Street"/>
    <n v="0"/>
    <s v="RIYADH"/>
    <d v="2023-02-22T00:00:00"/>
    <n v="76546.870899999994"/>
    <n v="67353.95"/>
    <n v="400795.98300000001"/>
    <n v="5.9505935880523717"/>
  </r>
  <r>
    <n v="200204030001"/>
    <s v="ليمون 155 - مخطط 6 جيزان"/>
    <s v="Lemon 155 -  District 6"/>
    <x v="3"/>
    <m/>
    <s v="Street"/>
    <n v="0"/>
    <s v="JIZAN"/>
    <d v="2023-05-03T00:00:00"/>
    <n v="183335.71680000008"/>
    <n v="200267.56820000004"/>
    <n v="1191554.8115000001"/>
    <n v="5.9498141521848265"/>
  </r>
  <r>
    <n v="200201020200"/>
    <s v="ليمون 151 - الخرج 2"/>
    <s v="Lemon 151 - Al Khrj 2"/>
    <x v="8"/>
    <m/>
    <s v="Street"/>
    <n v="0"/>
    <s v="RIYADH"/>
    <d v="2023-05-05T00:00:00"/>
    <n v="102293.66750000001"/>
    <n v="102305.29150000001"/>
    <n v="605891.29299999995"/>
    <n v="5.9223846989380791"/>
  </r>
  <r>
    <n v="200203010804"/>
    <s v="ليمون 223 - الحمراء 3"/>
    <s v="Lemon 223 - Al Hamra 3"/>
    <x v="6"/>
    <s v="MUSTAFA"/>
    <s v="Street"/>
    <n v="0"/>
    <s v="DAMMAM"/>
    <d v="2024-02-27T00:00:00"/>
    <n v="88773.694699999993"/>
    <n v="92206.781699999992"/>
    <n v="545463.39249999996"/>
    <n v="5.9156537343933779"/>
  </r>
  <r>
    <n v="200201010966"/>
    <s v="ليمون - اوكسي هيلث"/>
    <s v="Lemon - Oxy Health"/>
    <x v="4"/>
    <m/>
    <s v="Polyclinic"/>
    <n v="0"/>
    <s v="RIYADH"/>
    <d v="2025-08-08T00:00:00"/>
    <n v="128404.92499999999"/>
    <n v="130027.69"/>
    <n v="764988.29249999998"/>
    <n v="5.8832721899466183"/>
  </r>
  <r>
    <n v="101202001010"/>
    <s v="ليمون عوافي 10"/>
    <s v="LEMON AWAFY-10"/>
    <x v="9"/>
    <s v="MUSTAFA"/>
    <s v="Street"/>
    <n v="0"/>
    <s v="BISHA"/>
    <d v="2024-12-05T00:00:00"/>
    <n v="68510.366999999984"/>
    <n v="96515.789999999979"/>
    <n v="567220.05500000005"/>
    <n v="5.876966401041738"/>
  </r>
  <r>
    <n v="200201030300"/>
    <s v="ليمون 306 - النهضة بريدة"/>
    <s v="Lemon 306 - Al Nahda Burayda"/>
    <x v="10"/>
    <m/>
    <s v="Street"/>
    <n v="0"/>
    <s v="AL QASSIM"/>
    <d v="2025-07-29T00:00:00"/>
    <n v="118603.73299999998"/>
    <n v="133265.84219999998"/>
    <n v="782308.72"/>
    <n v="5.8702868423398602"/>
  </r>
  <r>
    <n v="200204010005"/>
    <s v="ليمون 322 مدينة الامير سلطان ابها"/>
    <s v="Lemon 322 Prince Sultan City, Abha"/>
    <x v="7"/>
    <m/>
    <s v="Street"/>
    <n v="0"/>
    <s v="ABHA-KHAMIS"/>
    <d v="2025-10-22T00:00:00"/>
    <n v="83401.19749999998"/>
    <n v="122890.5858"/>
    <n v="720376.91214999999"/>
    <n v="5.8619373279120621"/>
  </r>
  <r>
    <m/>
    <s v="ليمون 207 - عناية و نضارة 2"/>
    <s v="Lemon 207 - Enaya &amp; Nadara 2"/>
    <x v="4"/>
    <m/>
    <s v="Polyclinic"/>
    <m/>
    <s v="RIYADH"/>
    <m/>
    <n v="0"/>
    <n v="56265.191500000001"/>
    <n v="329761.60849999997"/>
    <n v="5.8608457504316851"/>
  </r>
  <r>
    <n v="200203010808"/>
    <s v="ليمون 247 - احد الدمام"/>
    <s v="Lemon 247 - Ohod Dammam"/>
    <x v="6"/>
    <s v="MUSTAFA"/>
    <s v="Street"/>
    <n v="0"/>
    <s v="DAMMAM"/>
    <d v="2024-09-08T00:00:00"/>
    <n v="108559.182"/>
    <n v="107151.33"/>
    <n v="627257.01199999999"/>
    <n v="5.8539358494196945"/>
  </r>
  <r>
    <n v="101102001001"/>
    <s v="ليمون 46 رابية طريق الخرج"/>
    <s v="LEMON 46 RABIYA"/>
    <x v="8"/>
    <s v="MUSTAFA"/>
    <s v="Street"/>
    <n v="0"/>
    <s v="RIYADH"/>
    <d v="2019-10-01T00:00:00"/>
    <n v="94113.468400000012"/>
    <n v="89439.33249999999"/>
    <n v="519035.18"/>
    <n v="5.8032094548558941"/>
  </r>
  <r>
    <n v="100802001006"/>
    <s v="ليمون صحة 18"/>
    <s v="LEMON SEHA-18"/>
    <x v="5"/>
    <s v="MUSTAFA"/>
    <s v="Street"/>
    <n v="0"/>
    <s v="RIYADH"/>
    <d v="2018-06-01T00:00:00"/>
    <n v="71947.958100000003"/>
    <n v="103527.79000000002"/>
    <n v="598537.12"/>
    <n v="5.7814150190977696"/>
  </r>
  <r>
    <n v="200201010935"/>
    <s v="ليمون 213 - الداودمي"/>
    <s v="Lemon - 213 Al Duwadimi"/>
    <x v="5"/>
    <s v="MUSTAFA"/>
    <s v="Street"/>
    <n v="0"/>
    <s v="RIYADH"/>
    <d v="2024-03-17T00:00:00"/>
    <n v="77246.962999999989"/>
    <n v="88239.339999999982"/>
    <n v="507180.28100000002"/>
    <n v="5.7477796298113759"/>
  </r>
  <r>
    <n v="200205010918"/>
    <s v="ليمون 317 - الشبيلي حائل"/>
    <s v="Lemon 317 -Al Shabili Hail"/>
    <x v="2"/>
    <m/>
    <s v="Street"/>
    <n v="0"/>
    <s v="HAIL"/>
    <d v="2025-09-11T00:00:00"/>
    <n v="175442.23500000002"/>
    <n v="153716.75750000004"/>
    <n v="881515.70799999998"/>
    <n v="5.7346754012814758"/>
  </r>
  <r>
    <n v="200204010006"/>
    <s v="ليمون 338 - المروج أبها"/>
    <s v="Lemon 338 - Muruj Abha"/>
    <x v="7"/>
    <m/>
    <s v="Street"/>
    <n v="0"/>
    <s v="ABHA-KHAMIS"/>
    <d v="2025-11-18T00:00:00"/>
    <n v="75300.541100000017"/>
    <n v="125307.7099"/>
    <n v="717058.11250000005"/>
    <n v="5.7223782405108023"/>
  </r>
  <r>
    <n v="200205010909"/>
    <s v="ليمون 245 - المباركية عرعر"/>
    <s v="Lemon 245 - Mubarakia Arar"/>
    <x v="2"/>
    <s v="MUSTAFA"/>
    <s v="Street"/>
    <n v="0"/>
    <s v="ARAR"/>
    <d v="2024-08-15T00:00:00"/>
    <n v="99667.219900000011"/>
    <n v="99671.683499999999"/>
    <n v="569933.17350000003"/>
    <n v="5.7181052179177856"/>
  </r>
  <r>
    <n v="200204030041"/>
    <s v="ليمون 287 - الجامعيين خميس مشيط"/>
    <s v="Lemon 287 - Jam'een Khamis Mesheat"/>
    <x v="7"/>
    <m/>
    <s v="Street"/>
    <n v="0"/>
    <s v="ABHA-KHAMIS"/>
    <d v="2025-05-22T00:00:00"/>
    <n v="78576.209300000002"/>
    <n v="108214.86999999997"/>
    <n v="614996.21"/>
    <n v="5.68310260872651"/>
  </r>
  <r>
    <n v="101202001014"/>
    <s v="ليمون عوافي 14"/>
    <s v="LEMON AWAFY-14"/>
    <x v="9"/>
    <m/>
    <s v="Street"/>
    <n v="0"/>
    <s v="BISHA"/>
    <d v="2025-12-24T00:00:00"/>
    <n v="80732.711899999995"/>
    <n v="115101.88850000002"/>
    <n v="653726.25"/>
    <n v="5.6795440849782404"/>
  </r>
  <r>
    <n v="200203010600"/>
    <s v="ليمون 88 - العزيزية الخبر"/>
    <s v="Lemon 88 - Aziziyah Al Khobar"/>
    <x v="6"/>
    <m/>
    <s v="Street"/>
    <n v="0"/>
    <s v="DAMMAM"/>
    <d v="2023-12-25T00:00:00"/>
    <n v="167926.1324"/>
    <n v="161214.45249999996"/>
    <n v="914222.91"/>
    <n v="5.6708495784520325"/>
  </r>
  <r>
    <n v="200202001009"/>
    <s v="ليمون 136 حي الفلاح جدة"/>
    <s v="Lemon 136 Jeddah Al-Falah"/>
    <x v="0"/>
    <m/>
    <s v="Street"/>
    <n v="0"/>
    <s v="JEDDAH"/>
    <d v="2023-01-30T00:00:00"/>
    <n v="121526.47480000003"/>
    <n v="122626.2947"/>
    <n v="691753.26800000004"/>
    <n v="5.641149556808716"/>
  </r>
  <r>
    <n v="200201070100"/>
    <s v="ليمون 284 - الزلفي"/>
    <s v="Lemon 284 - Zulfi"/>
    <x v="10"/>
    <m/>
    <s v="Street"/>
    <n v="0"/>
    <s v="AL MAJMA'AH"/>
    <d v="2025-05-19T00:00:00"/>
    <n v="126690.13699999999"/>
    <n v="144583.32150000002"/>
    <n v="815612.23849999998"/>
    <n v="5.6411225723570046"/>
  </r>
  <r>
    <n v="102002003001"/>
    <s v="صيدلية ليمون دواء العاصمة"/>
    <s v="Lemon Dawa Al Asema"/>
    <x v="5"/>
    <s v="MUSTAFA"/>
    <s v="Street"/>
    <n v="0"/>
    <s v="RIYADH"/>
    <d v="2021-06-01T00:00:00"/>
    <n v="64187.817800000019"/>
    <n v="76295.069999999992"/>
    <n v="429411.99"/>
    <n v="5.6283058656345686"/>
  </r>
  <r>
    <n v="200202001008"/>
    <s v="ليمون 124  جدة حي الصالحية"/>
    <s v="Lemon 124 Jeddah Alsaalihia"/>
    <x v="0"/>
    <m/>
    <s v="Street"/>
    <n v="0"/>
    <s v="JEDDAH"/>
    <d v="2022-09-06T00:00:00"/>
    <n v="181570.18139999994"/>
    <n v="168804.94750000001"/>
    <n v="926418.94900000002"/>
    <n v="5.4881030604864227"/>
  </r>
  <r>
    <n v="200205010700"/>
    <s v="ليمون 179 - الوادي"/>
    <s v="Lemon 179 -  Al Wadi"/>
    <x v="2"/>
    <s v="MUSTAFA"/>
    <s v="Street"/>
    <n v="0"/>
    <s v="HAIL"/>
    <d v="2023-12-18T00:00:00"/>
    <n v="80948.224100000021"/>
    <n v="108139.7415"/>
    <n v="589800.7365"/>
    <n v="5.4540609059991141"/>
  </r>
  <r>
    <n v="200205010914"/>
    <s v="ليمون 267 - الفيصليه عرعر"/>
    <s v="Lemon 267 - Faisaliah Arar"/>
    <x v="2"/>
    <m/>
    <s v="Street"/>
    <n v="0"/>
    <s v="ARAR"/>
    <d v="2025-03-14T00:00:00"/>
    <n v="120215.17389999999"/>
    <n v="113321.86000000002"/>
    <n v="615437.95499999996"/>
    <n v="5.4308846942681654"/>
  </r>
  <r>
    <n v="200201010964"/>
    <s v="ليمون - مجمع  انجاز الطبي"/>
    <s v="Lemon 297 Enjaz 1 Polyclinic"/>
    <x v="4"/>
    <m/>
    <s v="Polyclinic"/>
    <n v="0"/>
    <s v="RIYADH"/>
    <d v="2025-06-02T00:00:00"/>
    <n v="135326.83000000005"/>
    <n v="127226.13"/>
    <n v="690050.495"/>
    <n v="5.4238110913221993"/>
  </r>
  <r>
    <n v="200201010964"/>
    <s v="ليمون 297 مجمع  انجاز الطبي 1"/>
    <s v="Lemon 297 Enjaz 1 Polyclinic"/>
    <x v="4"/>
    <m/>
    <s v="Polyclinic"/>
    <n v="0"/>
    <s v="RIYADH"/>
    <d v="2025-06-02T00:00:00"/>
    <n v="135326.83000000005"/>
    <n v="127226.13"/>
    <n v="690050.495"/>
    <n v="5.4238110913221993"/>
  </r>
  <r>
    <n v="200204030024"/>
    <s v="ليمون 192 - م. روز الطبي"/>
    <s v="Lemon 192 - Rose Polyclinic"/>
    <x v="13"/>
    <m/>
    <s v="Polyclinic"/>
    <n v="0"/>
    <s v="WADI AD-DAWASIR"/>
    <d v="2023-10-11T00:00:00"/>
    <n v="154288.02730000002"/>
    <n v="106288.67999999998"/>
    <n v="569206.89749999996"/>
    <n v="5.355291810002722"/>
  </r>
  <r>
    <n v="200204020002"/>
    <s v="ليمون 127 مستوصف عنايتي 1"/>
    <s v="Lemon 127 Enaya NO-1 Clinic"/>
    <x v="13"/>
    <m/>
    <s v="Polyclinic"/>
    <n v="0"/>
    <s v="BISHA"/>
    <d v="2022-05-20T00:00:00"/>
    <n v="66818.719999999987"/>
    <n v="70663.909999999989"/>
    <n v="378321.12300000002"/>
    <n v="5.3538096462536542"/>
  </r>
  <r>
    <n v="200201060400"/>
    <s v="ليمون 212 - المجمعه الاسكان"/>
    <s v="Lemon 212 - Al Majmah Eskan"/>
    <x v="10"/>
    <m/>
    <s v="Street"/>
    <n v="0"/>
    <s v="AL MAJMA'AH"/>
    <d v="2024-03-15T00:00:00"/>
    <n v="116415.1551"/>
    <n v="111169.24999999999"/>
    <n v="592405.40800000005"/>
    <n v="5.3288603458240491"/>
  </r>
  <r>
    <n v="200201010955"/>
    <s v="ليمون 271 - الجزيرة"/>
    <s v="Lemon 271 - Jazzera"/>
    <x v="8"/>
    <s v="MUSTAFA"/>
    <s v="Street"/>
    <n v="0"/>
    <s v="RIYADH"/>
    <d v="2025-01-11T00:00:00"/>
    <n v="125461.4506"/>
    <n v="117902.85520000002"/>
    <n v="628236.13"/>
    <n v="5.328421681852535"/>
  </r>
  <r>
    <n v="200205010800"/>
    <s v="ليمون 180 - الياسمين"/>
    <s v="Lemon 180 - Al Yasmin"/>
    <x v="2"/>
    <m/>
    <s v="Street"/>
    <n v="0"/>
    <s v="HAIL"/>
    <d v="2023-12-19T00:00:00"/>
    <n v="104388.52779999998"/>
    <n v="120430.93999999999"/>
    <n v="640940.07979999995"/>
    <n v="5.3220549453487616"/>
  </r>
  <r>
    <n v="200202001021"/>
    <s v="ليمون 71 - البشائر"/>
    <s v="Lemon 71_Bashaer"/>
    <x v="0"/>
    <m/>
    <s v="Street"/>
    <n v="0"/>
    <s v="JEDDAH"/>
    <d v="2024-02-16T00:00:00"/>
    <n v="101400.20959999997"/>
    <n v="104924.09"/>
    <n v="556856.87399999995"/>
    <n v="5.3072356786701693"/>
  </r>
  <r>
    <n v="200201010914"/>
    <s v="ليمون 27 دنت"/>
    <s v="Lemon 27 Dent Clinic"/>
    <x v="4"/>
    <m/>
    <s v="Polyclinic"/>
    <n v="0"/>
    <s v="RIYADH"/>
    <d v="2023-05-09T00:00:00"/>
    <n v="139954.44840000002"/>
    <n v="148670.01"/>
    <n v="780102.47250000003"/>
    <n v="5.2472080448504714"/>
  </r>
  <r>
    <n v="200204030049"/>
    <s v="ليمون 321 اليرموك خميس مشيط"/>
    <s v="Lemon 321 Yarmouk Khamis Mesheat"/>
    <x v="7"/>
    <m/>
    <s v="Street"/>
    <n v="0"/>
    <s v="ABHA-KHAMIS"/>
    <d v="2025-11-14T00:00:00"/>
    <n v="95713.235199999981"/>
    <n v="123471.73634999999"/>
    <n v="646947.0085"/>
    <n v="5.2396364352253642"/>
  </r>
  <r>
    <n v="200204030048"/>
    <s v="ليمون 320 - التضامن خميس مشيط"/>
    <s v="Lemon 320 - ALtadamun Khamis Mesheat"/>
    <x v="9"/>
    <m/>
    <s v="Street"/>
    <n v="0"/>
    <s v="ABHA-KHAMIS"/>
    <d v="2025-09-18T00:00:00"/>
    <n v="99546.04"/>
    <n v="128115.7956"/>
    <n v="670856.84849999996"/>
    <n v="5.2363320647403446"/>
  </r>
  <r>
    <n v="100302001009"/>
    <s v="صيدلية  ليمون 37"/>
    <s v="Lemon 37"/>
    <x v="10"/>
    <m/>
    <s v="Street"/>
    <n v="0"/>
    <s v="AL QASSIM"/>
    <d v="2018-01-01T00:00:00"/>
    <n v="123032.97959999999"/>
    <n v="141105.55779999995"/>
    <n v="736244.255"/>
    <n v="5.2176843100931372"/>
  </r>
  <r>
    <n v="200201030400"/>
    <s v="ليمون 150 - البيكرية"/>
    <s v="Lemon 150 - Al Bukayriyah"/>
    <x v="10"/>
    <m/>
    <s v="Street"/>
    <n v="0"/>
    <s v="AL QASSIM"/>
    <d v="2023-10-20T00:00:00"/>
    <n v="122408.29080000002"/>
    <n v="127305.34999999998"/>
    <n v="661802.76899999997"/>
    <n v="5.1985464004458581"/>
  </r>
  <r>
    <n v="100202001011"/>
    <s v="صيدلية ليمون 11"/>
    <s v="LEMON-11"/>
    <x v="8"/>
    <s v="MUSTAFA"/>
    <s v="Street"/>
    <n v="0"/>
    <s v="RIYADH"/>
    <d v="2018-01-01T00:00:00"/>
    <n v="55363.525099999992"/>
    <n v="73660.590000000011"/>
    <n v="382360.79149999999"/>
    <n v="5.1908461702519615"/>
  </r>
  <r>
    <n v="200202001011"/>
    <s v="ليمون 146 - الأجاويد"/>
    <s v="Lemon 146 - Al  Ajaweed"/>
    <x v="0"/>
    <m/>
    <s v="Street"/>
    <n v="0"/>
    <s v="JEDDAH"/>
    <d v="2023-05-16T00:00:00"/>
    <n v="145365.61909999998"/>
    <n v="159227.15"/>
    <n v="825579.76249999995"/>
    <n v="5.1849182912587457"/>
  </r>
  <r>
    <n v="200201010923"/>
    <s v="ليمون 198 الزلال - الملك عبد الله"/>
    <s v="Lemon 198 Alzallal - King Abdullah"/>
    <x v="11"/>
    <m/>
    <s v="Polyclinic"/>
    <n v="0"/>
    <s v="RIYADH"/>
    <d v="2023-11-07T00:00:00"/>
    <n v="278288.56930000003"/>
    <n v="277392.55850000004"/>
    <n v="1429175.669"/>
    <n v="5.1521773933960802"/>
  </r>
  <r>
    <n v="200204030050"/>
    <s v="ليمون 323 النهضة خميس مشيط"/>
    <s v="Lemon 323 - Al Nahda Khamis Mushayt"/>
    <x v="9"/>
    <m/>
    <s v="Street"/>
    <n v="0"/>
    <s v="ABHA-KHAMIS"/>
    <d v="2025-09-30T00:00:00"/>
    <n v="80650.606100000019"/>
    <n v="119864.53149999997"/>
    <n v="617162.91650000005"/>
    <n v="5.1488368475373401"/>
  </r>
  <r>
    <n v="200202001012"/>
    <s v="ليمون 152 - الربوه جده"/>
    <s v="Lemon 152 - Ar Rabwah Jed"/>
    <x v="0"/>
    <m/>
    <s v="Street"/>
    <n v="0"/>
    <s v="JEDDAH"/>
    <d v="2023-05-19T00:00:00"/>
    <n v="419155.63179999997"/>
    <n v="276082.90780000004"/>
    <n v="1421142.1410000001"/>
    <n v="5.1475194619056381"/>
  </r>
  <r>
    <n v="200203010814"/>
    <s v="ليمون 312 - الزهراء القطيف"/>
    <s v="Lemon 312 - Zahra Qatif"/>
    <x v="6"/>
    <m/>
    <s v="Street"/>
    <n v="0"/>
    <s v="DAMMAM"/>
    <d v="2025-12-17T00:00:00"/>
    <n v="119050.8927"/>
    <n v="148535.13999999996"/>
    <n v="762498.46"/>
    <n v="5.1334550194654289"/>
  </r>
  <r>
    <n v="200202001019"/>
    <s v="ليمون 195 - الشراع 2"/>
    <s v="Lemon 195 - Al Sheraa 2"/>
    <x v="0"/>
    <s v="MUSTAFA"/>
    <s v="Street"/>
    <n v="0"/>
    <s v="JEDDAH"/>
    <d v="2023-12-24T00:00:00"/>
    <n v="77141.233200000017"/>
    <n v="106532.28000000001"/>
    <n v="546589.11349999998"/>
    <n v="5.1307370263736019"/>
  </r>
  <r>
    <n v="200202001023"/>
    <s v="ليمون 226 - الصالحية 2"/>
    <s v="Lemon 226 - Al Salhya 2"/>
    <x v="0"/>
    <m/>
    <s v="Street"/>
    <n v="0"/>
    <s v="JEDDAH"/>
    <d v="2024-04-22T00:00:00"/>
    <n v="153986.64420000001"/>
    <n v="156217.54150000002"/>
    <n v="800103.05649999995"/>
    <n v="5.1217235197623427"/>
  </r>
  <r>
    <n v="200201010941"/>
    <s v="ليمون 242 - مجمع سيف الطبي"/>
    <s v="Lemon 242 - Saif Polyclinic"/>
    <x v="12"/>
    <m/>
    <s v="Polyclinic"/>
    <n v="0"/>
    <s v="RIYADH"/>
    <d v="2024-07-08T00:00:00"/>
    <n v="118607.76640000001"/>
    <n v="126388.05999999998"/>
    <n v="640771.30000000005"/>
    <n v="5.0698721065898162"/>
  </r>
  <r>
    <n v="100302001005"/>
    <s v="صيدلية  ليمون 33"/>
    <s v="Lemon 33"/>
    <x v="10"/>
    <s v="MUSTAFA"/>
    <s v="Street"/>
    <n v="0"/>
    <s v="AL QASSIM"/>
    <d v="2018-01-03T00:00:00"/>
    <n v="92700.093399999998"/>
    <n v="104881.87999999999"/>
    <n v="530053.87849999999"/>
    <n v="5.0538174801977238"/>
  </r>
  <r>
    <n v="200201010942"/>
    <s v="ليمون 231 - مجمع هيلث الطبي"/>
    <s v="Lemon 231 - Health Polyclinic"/>
    <x v="12"/>
    <m/>
    <s v="Polyclinic"/>
    <n v="0"/>
    <s v="RIYADH"/>
    <d v="2024-07-16T00:00:00"/>
    <n v="180014.11980000001"/>
    <n v="169625.27"/>
    <n v="856749.05299999996"/>
    <n v="5.0508338350765776"/>
  </r>
  <r>
    <n v="200205010905"/>
    <s v="ليمون 228 - الربوة عرعر"/>
    <s v="Lemon 228 - Al Rabwa Arar"/>
    <x v="2"/>
    <m/>
    <s v="Street"/>
    <n v="0"/>
    <s v="ARAR"/>
    <d v="2024-04-20T00:00:00"/>
    <n v="113150.4996"/>
    <n v="125437.79150000001"/>
    <n v="629114.73250000004"/>
    <n v="5.0153524306907142"/>
  </r>
  <r>
    <n v="200201060500"/>
    <s v="ليمون - علاج سدير"/>
    <s v="Lemon - Elaj Sudair"/>
    <x v="11"/>
    <m/>
    <s v="Polyclinic"/>
    <n v="0"/>
    <s v="AL MAJMA'AH"/>
    <d v="2025-03-26T00:00:00"/>
    <n v="181927.712"/>
    <n v="185116.28"/>
    <n v="925019.66650000005"/>
    <n v="4.9969655100026857"/>
  </r>
  <r>
    <n v="200201010917"/>
    <s v="ليمون 156- القويعيه"/>
    <s v="Lemon 156 - Al Quwaiiyah"/>
    <x v="5"/>
    <m/>
    <s v="Street"/>
    <n v="0"/>
    <s v="RIYADH"/>
    <d v="2023-06-11T00:00:00"/>
    <n v="135183.07070000004"/>
    <n v="151223.45499999999"/>
    <n v="753783.96050000004"/>
    <n v="4.98457041931756"/>
  </r>
  <r>
    <n v="200201010924"/>
    <s v="ليمون 204 الزلال - البديعة"/>
    <s v="Lemon 204 Alzallal - Al Badiah"/>
    <x v="13"/>
    <m/>
    <s v="Polyclinic"/>
    <n v="0"/>
    <s v="RIYADH"/>
    <d v="2023-11-11T00:00:00"/>
    <n v="115195.38739999999"/>
    <n v="162405.96000000002"/>
    <n v="808281.86"/>
    <n v="4.9769223986607383"/>
  </r>
  <r>
    <n v="200203020200"/>
    <s v="ليمون 279 - الواحة حفر الباطن"/>
    <s v="Lemon  279 - Waha Al Hafr"/>
    <x v="6"/>
    <s v="MUSTAFA"/>
    <s v="Street"/>
    <n v="0"/>
    <s v="HAFAR AL BATIN"/>
    <d v="2025-02-17T00:00:00"/>
    <n v="101273.76850000001"/>
    <n v="130038.98850000002"/>
    <n v="647023.94850000006"/>
    <n v="4.9756150517888713"/>
  </r>
  <r>
    <n v="100702001004"/>
    <s v="صيدلية  ليمون 94"/>
    <s v="LEMON 94 Zahrit ( 4 )"/>
    <x v="10"/>
    <s v="MUSTAFA"/>
    <s v="Street"/>
    <n v="0"/>
    <s v="AL QASSIM"/>
    <d v="2018-01-01T00:00:00"/>
    <n v="92639.698199999984"/>
    <n v="102019.13349999998"/>
    <n v="507423.19500000001"/>
    <n v="4.9738042031105874"/>
  </r>
  <r>
    <n v="200204030027"/>
    <s v="ليمون 218 - الفهد نجران"/>
    <s v="Lemon 218  - Al Fahad Najran"/>
    <x v="3"/>
    <s v="MUSTAFA"/>
    <s v="Street"/>
    <n v="0"/>
    <s v="NAJRAN"/>
    <d v="2024-03-22T00:00:00"/>
    <n v="122005.29459999999"/>
    <n v="122021.17750000001"/>
    <n v="603275.65899999999"/>
    <n v="4.9440242371042515"/>
  </r>
  <r>
    <n v="200205010907"/>
    <s v="ليمون 237 - الرحمانية سكاكا"/>
    <s v="Lemon 237 - Al Rahmania Sakaka"/>
    <x v="2"/>
    <s v="MUSTAFA"/>
    <s v="Street"/>
    <n v="0"/>
    <s v="SAKAKA"/>
    <d v="2024-05-17T00:00:00"/>
    <n v="105173.28630000001"/>
    <n v="125129.53"/>
    <n v="617240.24"/>
    <n v="4.9328103446085025"/>
  </r>
  <r>
    <n v="100502001006"/>
    <s v="ليمون 66 جاكس"/>
    <s v="LEMON-66"/>
    <x v="14"/>
    <m/>
    <s v="Street"/>
    <n v="0"/>
    <s v="RIYADH"/>
    <d v="2016-01-01T00:00:00"/>
    <n v="143715.4124"/>
    <n v="146609.63690000001"/>
    <n v="722723.87915000005"/>
    <n v="4.9295796267673584"/>
  </r>
  <r>
    <n v="200205010904"/>
    <s v="ليمون 230 - المروج عرعر"/>
    <s v="Lemon 230 - Al Muruj Arar"/>
    <x v="2"/>
    <m/>
    <s v="Street"/>
    <n v="0"/>
    <s v="ARAR"/>
    <d v="2024-04-18T00:00:00"/>
    <n v="113749.04500000001"/>
    <n v="130275.14"/>
    <n v="636602.76749999996"/>
    <n v="4.8866020600707083"/>
  </r>
  <r>
    <n v="200202001022"/>
    <s v="ليمون 216 - الصيانة"/>
    <s v="Lemon 216_Al Siana"/>
    <x v="0"/>
    <s v="MUSTAFA"/>
    <s v="Street"/>
    <n v="0"/>
    <s v="TAIF"/>
    <d v="2024-03-06T00:00:00"/>
    <n v="77993.491699999984"/>
    <n v="110742.95479999998"/>
    <n v="539355.72"/>
    <n v="4.8703388940097172"/>
  </r>
  <r>
    <n v="100202001031"/>
    <s v="صيدلية ليمون 135 بيوتي كلينكس"/>
    <s v="LEMON 135 BEAUTY CLINIC"/>
    <x v="14"/>
    <m/>
    <s v="Street"/>
    <n v="0"/>
    <s v="RIYADH"/>
    <d v="2023-04-04T00:00:00"/>
    <n v="141834.73940000005"/>
    <n v="139808.4325"/>
    <n v="676297.51950000005"/>
    <n v="4.837315656907891"/>
  </r>
  <r>
    <n v="100202001018"/>
    <s v="صيدلية ليمون 18"/>
    <s v="LEMON-18"/>
    <x v="5"/>
    <m/>
    <s v="Street"/>
    <n v="0"/>
    <s v="RIYADH"/>
    <d v="2016-01-01T00:00:00"/>
    <n v="171689.15580000001"/>
    <n v="195664.13570000004"/>
    <n v="942911.60049999994"/>
    <n v="4.81903133206644"/>
  </r>
  <r>
    <n v="200203010818"/>
    <s v="ليمون 357 - المنار الدمام"/>
    <s v="Lemon 357 - Manar Dammam"/>
    <x v="6"/>
    <m/>
    <s v="Street"/>
    <n v="0"/>
    <s v="DAMMAM"/>
    <d v="2026-02-08T00:00:00"/>
    <n v="151542.89569999999"/>
    <n v="148711.02000000002"/>
    <n v="715451.07499999995"/>
    <n v="4.8110158547765991"/>
  </r>
  <r>
    <n v="200203010810"/>
    <s v="ليمون 256 - المجيدية القطيف"/>
    <s v="Lemon 256 -  Majedya Qatif"/>
    <x v="6"/>
    <m/>
    <s v="Street"/>
    <n v="0"/>
    <s v="DAMMAM"/>
    <d v="2024-11-12T00:00:00"/>
    <n v="91106.788800000024"/>
    <n v="142301.77999999997"/>
    <n v="683834.375"/>
    <n v="4.8055222851042352"/>
  </r>
  <r>
    <n v="101202001002"/>
    <s v="ليمون عوافي 2"/>
    <s v="LEMON  AWAFY-02"/>
    <x v="9"/>
    <s v="MUSTAFA"/>
    <s v="Street"/>
    <n v="0"/>
    <s v="BISHA"/>
    <d v="2020-01-01T00:00:00"/>
    <n v="72842.083300000013"/>
    <n v="86745.9"/>
    <n v="415821.60749999998"/>
    <n v="4.7935592056800385"/>
  </r>
  <r>
    <n v="200205010400"/>
    <s v="ليمون 202 درة القاضي - السلمان"/>
    <s v="Lemon 202 Durrat Al Qady - Al Salman"/>
    <x v="4"/>
    <m/>
    <s v="Polyclinic"/>
    <n v="0"/>
    <s v="TABUK"/>
    <d v="2023-10-28T00:00:00"/>
    <n v="203210.56099999999"/>
    <n v="173257.37749999997"/>
    <n v="829576.40599999996"/>
    <n v="4.788115911543219"/>
  </r>
  <r>
    <n v="200204030019"/>
    <s v="ليمون 169 - محايل العثيم"/>
    <s v="Lemon 169 - Mohayel Othaim"/>
    <x v="3"/>
    <m/>
    <s v="Street"/>
    <n v="0"/>
    <s v="JIZAN"/>
    <d v="2023-08-23T00:00:00"/>
    <n v="179961.0846"/>
    <n v="179617.72999999998"/>
    <n v="857614.96620000002"/>
    <n v="4.7746676578086147"/>
  </r>
  <r>
    <n v="100302001017"/>
    <s v="صيدلية  ليمون 45"/>
    <s v="Lemon 45"/>
    <x v="6"/>
    <m/>
    <s v="Street"/>
    <n v="0"/>
    <s v="HAFAR AL BATIN"/>
    <d v="2018-01-01T00:00:00"/>
    <n v="107866.65419999998"/>
    <n v="118682.77500000001"/>
    <n v="565747.49780000001"/>
    <n v="4.7668880155523832"/>
  </r>
  <r>
    <n v="100302001008"/>
    <s v="صيدلية  ليمون 36"/>
    <s v="Lemon 36 Hafr Al-Batin"/>
    <x v="6"/>
    <m/>
    <s v="Street"/>
    <n v="0"/>
    <s v="HAFAR AL BATIN"/>
    <d v="2018-01-01T00:00:00"/>
    <n v="90283.771399999998"/>
    <n v="123939.227"/>
    <n v="590579.40549999999"/>
    <n v="4.7650725262309406"/>
  </r>
  <r>
    <n v="100502001007"/>
    <s v="ليمون 67 العيينة"/>
    <s v="LEMON-67"/>
    <x v="14"/>
    <m/>
    <s v="Street"/>
    <n v="0"/>
    <s v="RIYADH"/>
    <d v="2019-01-01T00:00:00"/>
    <n v="116723.5396"/>
    <n v="114992.22000000002"/>
    <n v="545396.50249999994"/>
    <n v="4.7428991500468456"/>
  </r>
  <r>
    <n v="200205010200"/>
    <s v="ليمون 181 - النقرة"/>
    <s v="Lemon 181 - An Naqrah"/>
    <x v="2"/>
    <s v="MUSTAFA"/>
    <s v="Street"/>
    <n v="0"/>
    <s v="HAIL"/>
    <d v="2023-10-20T00:00:00"/>
    <n v="133039.2794"/>
    <n v="182397.22849999997"/>
    <n v="864114.45"/>
    <n v="4.7375415575461997"/>
  </r>
  <r>
    <n v="200204030004"/>
    <s v="ليمون 86 الكربوس جازان"/>
    <s v="Lemon 86 Jizan Karbous"/>
    <x v="3"/>
    <m/>
    <s v="Street"/>
    <n v="0"/>
    <s v="JIZAN"/>
    <d v="2021-08-15T00:00:00"/>
    <n v="195671.5877"/>
    <n v="233895.66500000004"/>
    <n v="1103862.4815"/>
    <n v="4.7194653286968782"/>
  </r>
  <r>
    <n v="200201020400"/>
    <s v="ليمون 275 - الورود الخرج"/>
    <s v="Lemon 275 - Al Wurud Kharj"/>
    <x v="8"/>
    <m/>
    <s v="Street"/>
    <n v="0"/>
    <s v="RIYADH"/>
    <d v="2025-02-08T00:00:00"/>
    <n v="223594.97100000002"/>
    <n v="242825.23149999999"/>
    <n v="1139639.0989999999"/>
    <n v="4.6932482755606886"/>
  </r>
  <r>
    <n v="200202001006"/>
    <s v="ليمون 79 جدة حي السنابل"/>
    <s v="Lemon 79 Jeddah Al-Sanabel"/>
    <x v="0"/>
    <m/>
    <s v="Street"/>
    <n v="0"/>
    <s v="JEDDAH"/>
    <d v="2022-02-18T00:00:00"/>
    <n v="122756.5505"/>
    <n v="144785.77350000001"/>
    <n v="679196.63919999998"/>
    <n v="4.6910454168344096"/>
  </r>
  <r>
    <n v="200205010920"/>
    <s v="ليمون 319 - الوسيطاء حائل"/>
    <s v="Lemon 319 - Al Wasayta Hail"/>
    <x v="2"/>
    <m/>
    <s v="Street"/>
    <n v="0"/>
    <s v="HAIL"/>
    <d v="2025-09-22T00:00:00"/>
    <n v="97758.776500000007"/>
    <n v="132956.46179999996"/>
    <n v="622123.103"/>
    <n v="4.6791490581016664"/>
  </r>
  <r>
    <n v="100802001005"/>
    <s v="ليمون صحة 15 ( 17 سابقا)"/>
    <s v="LEMON SEHA- 15 ( Old 17)"/>
    <x v="1"/>
    <m/>
    <s v="Street"/>
    <n v="0"/>
    <s v="RIYADH"/>
    <d v="2018-01-01T00:00:00"/>
    <n v="117257.29440000001"/>
    <n v="146589.64500000002"/>
    <n v="680052.17350000003"/>
    <n v="4.6391556067961002"/>
  </r>
  <r>
    <n v="200203010805"/>
    <s v="ليمون 232 - العزيزية 2 الخبر"/>
    <s v="Lemon 232 - Aziziyah 2 Al  Khobar"/>
    <x v="6"/>
    <m/>
    <s v="Street"/>
    <n v="0"/>
    <s v="DAMMAM"/>
    <d v="2024-05-03T00:00:00"/>
    <n v="148016.10029999999"/>
    <n v="172397.57500000001"/>
    <n v="795503.97549999994"/>
    <n v="4.6143571074013074"/>
  </r>
  <r>
    <n v="100502001003"/>
    <s v="ليمون 63 ابن حزم"/>
    <s v="LEMON-63"/>
    <x v="5"/>
    <m/>
    <s v="Street"/>
    <n v="0"/>
    <s v="RIYADH"/>
    <d v="2018-01-01T00:00:00"/>
    <n v="93748.503500000006"/>
    <n v="101031.34000000001"/>
    <n v="465369.0575"/>
    <n v="4.6061851451242743"/>
  </r>
  <r>
    <n v="200205010500"/>
    <s v="ليمون 201 درة القاضي - ش ابو بكر"/>
    <s v="Lemon 201 Durrat Al Qady - Abu Bakr St."/>
    <x v="4"/>
    <m/>
    <s v="Polyclinic"/>
    <n v="0"/>
    <s v="TABUK"/>
    <d v="2023-10-28T00:00:00"/>
    <n v="169450.19050000003"/>
    <n v="144543.1715"/>
    <n v="665655.61494999996"/>
    <n v="4.6052373698608102"/>
  </r>
  <r>
    <n v="200204030036"/>
    <s v="ليمون 269 - الوديعة خميس مشيط"/>
    <s v="Lemon 269 - Wadiah Khamis Mesheat"/>
    <x v="7"/>
    <s v="MUSTAFA"/>
    <s v="Street"/>
    <n v="0"/>
    <s v="ABHA-KHAMIS"/>
    <d v="2025-02-22T00:00:00"/>
    <n v="91393.122299999988"/>
    <n v="120527.68570000003"/>
    <n v="553476.42799999996"/>
    <n v="4.5921103088101507"/>
  </r>
  <r>
    <n v="200204030011"/>
    <s v="ليمون 120 حي الحسام"/>
    <s v="Lemon Al-Hossam 120 , Khamis Mushayath"/>
    <x v="7"/>
    <m/>
    <s v="Street"/>
    <n v="0"/>
    <s v="ABHA-KHAMIS"/>
    <d v="2022-12-12T00:00:00"/>
    <n v="140962.22750000001"/>
    <n v="156244.11670000001"/>
    <n v="716497.86499999999"/>
    <n v="4.585759004134073"/>
  </r>
  <r>
    <n v="102002001002"/>
    <s v="ليمون 73 سوان"/>
    <s v="Lemon 73 Swan"/>
    <x v="11"/>
    <m/>
    <s v="Polyclinic"/>
    <n v="0"/>
    <s v="RIYADH"/>
    <d v="2021-09-01T00:00:00"/>
    <n v="108297.29080000002"/>
    <n v="142875.22"/>
    <n v="651213.52749999997"/>
    <n v="4.5579179335646867"/>
  </r>
  <r>
    <n v="200201012000"/>
    <s v="ليمون 129 مجمع الشبلان الطبي"/>
    <s v="Lemon 129 Al- Shablan Medical Complex"/>
    <x v="4"/>
    <m/>
    <s v="Polyclinic"/>
    <n v="0"/>
    <s v="RIYADH"/>
    <d v="2022-05-09T00:00:00"/>
    <n v="378565.23149999999"/>
    <n v="308755.68699999998"/>
    <n v="1403453.9165000001"/>
    <n v="4.5455160037262736"/>
  </r>
  <r>
    <n v="200205020200"/>
    <s v="ليمون 355 - العقالي  المدينة قربان"/>
    <s v="Lemon 355 Al Aqali Qurban PolyClinic - Madinah"/>
    <x v="11"/>
    <m/>
    <s v="Polyclinic"/>
    <n v="0"/>
    <s v="MADINAH"/>
    <d v="2026-02-12T00:00:00"/>
    <n v="184945.93849999999"/>
    <n v="174114.66199999998"/>
    <n v="779731.82794999995"/>
    <n v="4.4782663274503562"/>
  </r>
  <r>
    <n v="200202001018"/>
    <s v="ليمون 175 - المنار"/>
    <s v="Lemon 175 - Al Manar"/>
    <x v="0"/>
    <m/>
    <s v="Street"/>
    <n v="0"/>
    <s v="JEDDAH"/>
    <d v="2023-12-21T00:00:00"/>
    <n v="107192.84189999998"/>
    <n v="139932.11000000002"/>
    <n v="624950.64049999998"/>
    <n v="4.4660988853809176"/>
  </r>
  <r>
    <n v="100402001002"/>
    <s v="ليمون اشراق الاولي"/>
    <s v="LEMON ESHRAQ-01"/>
    <x v="14"/>
    <m/>
    <s v="Street"/>
    <n v="0"/>
    <s v="RIYADH"/>
    <d v="2018-01-01T00:00:00"/>
    <n v="201982.16309999998"/>
    <n v="195576.19749999998"/>
    <n v="872792.26650000003"/>
    <n v="4.4626712128402035"/>
  </r>
  <r>
    <n v="101202001008"/>
    <s v="ليمون عوافي 8"/>
    <s v="LEMON AWAFY-08"/>
    <x v="9"/>
    <m/>
    <s v="Street"/>
    <n v="0"/>
    <s v="BISHA"/>
    <d v="2024-07-11T00:00:00"/>
    <n v="126915.6027"/>
    <n v="150767.01150000002"/>
    <n v="669828.37320000003"/>
    <n v="4.4428046064970914"/>
  </r>
  <r>
    <n v="200201010963"/>
    <s v="ليمون 288 - الرمال"/>
    <s v="Lemon 288 - Remal"/>
    <x v="1"/>
    <m/>
    <s v="Street"/>
    <n v="0"/>
    <s v="RIYADH"/>
    <d v="2025-05-20T00:00:00"/>
    <n v="166279.3186"/>
    <n v="170325.9448"/>
    <n v="754605.73800000001"/>
    <n v="4.4303628486316198"/>
  </r>
  <r>
    <n v="200204030018"/>
    <s v="ليمون 177 - الاسكان والضيافة"/>
    <s v="Lemon 177 - Aldhyafa &amp; Eskan"/>
    <x v="7"/>
    <s v="MUSTAFA"/>
    <s v="Street"/>
    <n v="0"/>
    <s v="ABHA-KHAMIS"/>
    <d v="2023-08-19T00:00:00"/>
    <n v="89775.45150000001"/>
    <n v="107040.21249999998"/>
    <n v="473567.52"/>
    <n v="4.424201979232806"/>
  </r>
  <r>
    <n v="200203010809"/>
    <s v="ليمون 239 - الحزام الاحساء"/>
    <s v="Lemon 239 - Hezam Ahsa"/>
    <x v="6"/>
    <m/>
    <s v="Street"/>
    <n v="0"/>
    <s v="DAMMAM"/>
    <d v="2024-10-17T00:00:00"/>
    <n v="185262.67669999992"/>
    <n v="193995.0913"/>
    <n v="856015.82050000003"/>
    <n v="4.4125643322398851"/>
  </r>
  <r>
    <n v="200201010939"/>
    <s v="ليمون 224 - النرجس 2"/>
    <s v="Lemon 224 - Al Narjis 2"/>
    <x v="14"/>
    <m/>
    <s v="Street"/>
    <n v="0"/>
    <s v="RIYADH"/>
    <d v="2024-07-24T00:00:00"/>
    <n v="219669.45079999996"/>
    <n v="228979.01"/>
    <n v="1009005.3055"/>
    <n v="4.4065406060581713"/>
  </r>
  <r>
    <n v="200204030033"/>
    <s v="ليمون 209 - المحاله خميس مشيط"/>
    <s v="Lemon 209 - Mahala Khamis Mesheat"/>
    <x v="7"/>
    <m/>
    <s v="Street"/>
    <n v="0"/>
    <s v="ABHA-KHAMIS"/>
    <d v="2024-02-03T00:00:00"/>
    <n v="120641.68090000001"/>
    <n v="153575.17150000003"/>
    <n v="676143.79200000002"/>
    <n v="4.4026894803109489"/>
  </r>
  <r>
    <n v="200204020005"/>
    <s v="ليمون 298 - دوار الساعه بيشه"/>
    <s v="Lemon 298 - Al Dwar Bisha"/>
    <x v="9"/>
    <m/>
    <s v="Street"/>
    <n v="0"/>
    <s v="BISHA"/>
    <d v="2025-06-25T00:00:00"/>
    <n v="136788.13560000001"/>
    <n v="171987.35870000001"/>
    <n v="748729.95600000001"/>
    <n v="4.3534010967981684"/>
  </r>
  <r>
    <n v="100202001016"/>
    <s v="صيدلية ليمون 16"/>
    <s v="LEMON-16"/>
    <x v="8"/>
    <m/>
    <s v="Street"/>
    <n v="0"/>
    <s v="RIYADH"/>
    <d v="2018-06-01T00:00:00"/>
    <n v="82638.661099999998"/>
    <n v="97897.452500000014"/>
    <n v="424468.86200000002"/>
    <n v="4.335851967138777"/>
  </r>
  <r>
    <n v="200201010918"/>
    <s v="ليمون 131 - المهديه 1"/>
    <s v="Lemon 131 - Al Mahdiyah 1"/>
    <x v="1"/>
    <m/>
    <s v="Street"/>
    <n v="0"/>
    <s v="RIYADH"/>
    <d v="2023-06-23T00:00:00"/>
    <n v="239996.6439"/>
    <n v="192558.41849999994"/>
    <n v="832622.03399999999"/>
    <n v="4.3239970523542715"/>
  </r>
  <r>
    <n v="200201010958"/>
    <s v="ليمون 266 - الحياة الرمال"/>
    <s v="Lemon 266 - Hayat  Remal"/>
    <x v="13"/>
    <m/>
    <s v="Polyclinic"/>
    <n v="0"/>
    <s v="RIYADH"/>
    <d v="2025-02-11T00:00:00"/>
    <n v="229940.48750000002"/>
    <n v="240541.84000000003"/>
    <n v="1038343.6485"/>
    <n v="4.3166862301377584"/>
  </r>
  <r>
    <n v="100202001046"/>
    <s v="ليمون 39 حي طويق"/>
    <s v="Lemon 39 Tuwaiq"/>
    <x v="5"/>
    <m/>
    <s v="Street"/>
    <n v="0"/>
    <s v="RIYADH"/>
    <d v="2021-02-01T00:00:00"/>
    <n v="178553.8302"/>
    <n v="176781.35029999999"/>
    <n v="760561.92099999997"/>
    <n v="4.3022746444085733"/>
  </r>
  <r>
    <n v="200201010959"/>
    <s v="ليمون 253 - طويق 4"/>
    <s v="Lemon 253 - Twaiq 4"/>
    <x v="5"/>
    <m/>
    <s v="Street"/>
    <n v="0"/>
    <s v="RIYADH"/>
    <d v="2025-02-13T00:00:00"/>
    <n v="129421.18539999999"/>
    <n v="153793.56589999999"/>
    <n v="660363.1"/>
    <n v="4.2938278733284774"/>
  </r>
  <r>
    <n v="102002006002"/>
    <s v="ليمون 101 مجمع هاو حي النسيم"/>
    <s v="Lemon 101 -How Nasim Clinc"/>
    <x v="12"/>
    <m/>
    <s v="Polyclinic"/>
    <n v="0"/>
    <s v="RIYADH"/>
    <d v="2021-08-01T00:00:00"/>
    <n v="253162.79259999996"/>
    <n v="252763.74350000004"/>
    <n v="1078025.5645000001"/>
    <n v="4.2649533100462245"/>
  </r>
  <r>
    <n v="200203010801"/>
    <s v="ليمون 210 - الاحساء الربوة"/>
    <s v="Lemon 210 - Al Ahsa Al Rabwa"/>
    <x v="6"/>
    <m/>
    <s v="Street"/>
    <n v="0"/>
    <s v="DAMMAM"/>
    <d v="2024-02-07T00:00:00"/>
    <n v="219452.65790000005"/>
    <n v="203855.94279999999"/>
    <n v="868530.95550000004"/>
    <n v="4.2605132995906958"/>
  </r>
  <r>
    <n v="200203010807"/>
    <s v="ليمون 229 - بدر 2 الدمام"/>
    <s v="Lemon 229 - Badr 2 Dammam"/>
    <x v="6"/>
    <m/>
    <s v="Street"/>
    <n v="0"/>
    <s v="DAMMAM"/>
    <d v="2024-08-19T00:00:00"/>
    <n v="137904.60550000001"/>
    <n v="172619.7745"/>
    <n v="732389.48199999996"/>
    <n v="4.2427901677046851"/>
  </r>
  <r>
    <n v="200203010200"/>
    <s v="ليمون 186 - سيهات"/>
    <s v="Lemon 186 - Saihat"/>
    <x v="6"/>
    <m/>
    <s v="Street"/>
    <n v="0"/>
    <s v="DAMMAM"/>
    <d v="2023-09-15T00:00:00"/>
    <n v="284318.73330000002"/>
    <n v="268549.11"/>
    <n v="1135671.0525"/>
    <n v="4.2289138567616185"/>
  </r>
  <r>
    <n v="200205010910"/>
    <s v="ليمون 246 - الريان تبوك"/>
    <s v="Lemon 246 - Rayyan Tabuk"/>
    <x v="2"/>
    <m/>
    <s v="Street"/>
    <n v="0"/>
    <s v="TABUK"/>
    <d v="2024-08-17T00:00:00"/>
    <n v="174186.02089999997"/>
    <n v="179632.37"/>
    <n v="758179.50349999999"/>
    <n v="4.2207287222230603"/>
  </r>
  <r>
    <n v="200201010916"/>
    <s v="ليمون 178 - المصيف"/>
    <s v="Lemon 178 -  Al Masyaf"/>
    <x v="2"/>
    <m/>
    <s v="Street"/>
    <n v="0"/>
    <s v="HAIL"/>
    <d v="2023-11-24T00:00:00"/>
    <n v="134143.32379999998"/>
    <n v="169468.44219999996"/>
    <n v="714008.56"/>
    <n v="4.2132243073159037"/>
  </r>
  <r>
    <n v="101102001003"/>
    <s v="ليمون 47 الحبيب النخيل"/>
    <s v="LEMON 47 HABIB NAKHEEL"/>
    <x v="14"/>
    <m/>
    <s v="Street"/>
    <n v="0"/>
    <s v="RIYADH"/>
    <d v="2019-10-10T00:00:00"/>
    <n v="143750.91880000001"/>
    <n v="131960.6"/>
    <n v="555949.53"/>
    <n v="4.2129963792222833"/>
  </r>
  <r>
    <n v="200205010906"/>
    <s v="ليمون 236 - النزهة سكاكا"/>
    <s v="Lemon 236 - Al Nozha Sakaka"/>
    <x v="2"/>
    <m/>
    <s v="Street"/>
    <n v="0"/>
    <s v="SAKAKA"/>
    <d v="2024-05-19T00:00:00"/>
    <n v="135314.33580000003"/>
    <n v="160554.66099999999"/>
    <n v="670262.38249999995"/>
    <n v="4.1746678565750264"/>
  </r>
  <r>
    <n v="100202001026"/>
    <s v="صيدلية ليمون 26"/>
    <s v="LEMON-26"/>
    <x v="5"/>
    <m/>
    <s v="Street"/>
    <n v="0"/>
    <s v="RIYADH"/>
    <d v="2018-01-01T00:00:00"/>
    <n v="164484.09179999999"/>
    <n v="174022.25449999998"/>
    <n v="725499.48899999994"/>
    <n v="4.1690040798776113"/>
  </r>
  <r>
    <n v="100202001009"/>
    <s v="صيدلية ليمون 09"/>
    <s v="LEMON-09"/>
    <x v="5"/>
    <m/>
    <s v="Street"/>
    <n v="0"/>
    <s v="RIYADH"/>
    <d v="2018-01-01T00:00:00"/>
    <n v="128090.19190000001"/>
    <n v="162287.10999999999"/>
    <n v="674129.902"/>
    <n v="4.153933741256469"/>
  </r>
  <r>
    <n v="100302001012"/>
    <s v="صيدلية  ليمون 40"/>
    <s v="Lemon 40"/>
    <x v="10"/>
    <m/>
    <s v="Street"/>
    <n v="0"/>
    <s v="AL QASSIM"/>
    <d v="2018-01-01T00:00:00"/>
    <n v="128240.6035"/>
    <n v="141710.56999999998"/>
    <n v="588384.56099999999"/>
    <n v="4.1520160493321008"/>
  </r>
  <r>
    <n v="200204030009"/>
    <s v="ليمون 115 ريجن مول ابو عريش"/>
    <s v="Lemon 115 Region al-Mall"/>
    <x v="3"/>
    <m/>
    <s v="Street"/>
    <n v="0"/>
    <s v="JIZAN"/>
    <d v="2022-02-03T00:00:00"/>
    <n v="347135.95879999996"/>
    <n v="397730.09639999986"/>
    <n v="1643226.3455000001"/>
    <n v="4.1315111940822202"/>
  </r>
  <r>
    <n v="200201010931"/>
    <s v="ليمون 188 - تنال"/>
    <s v="Lemon 188 - Tanal"/>
    <x v="14"/>
    <m/>
    <s v="Street"/>
    <n v="0"/>
    <s v="RIYADH"/>
    <d v="2024-01-31T00:00:00"/>
    <n v="246087.32839999997"/>
    <n v="230437.995"/>
    <n v="951398.51300000004"/>
    <n v="4.1286529723537999"/>
  </r>
  <r>
    <n v="101202001006"/>
    <s v="ليمون 342 عوافي 6"/>
    <s v="LEMON 342 AWAFY-06"/>
    <x v="9"/>
    <m/>
    <s v="Street"/>
    <n v="0"/>
    <s v="BISHA"/>
    <d v="2020-01-01T00:00:00"/>
    <n v="160022.36410000004"/>
    <n v="219344.2175"/>
    <n v="903793.13399999996"/>
    <n v="4.1204329172707732"/>
  </r>
  <r>
    <n v="100502001004"/>
    <s v="ليمون 64 طنجة"/>
    <s v="LEMON-64"/>
    <x v="5"/>
    <m/>
    <s v="Street"/>
    <n v="0"/>
    <s v="RIYADH"/>
    <d v="2016-01-01T00:00:00"/>
    <n v="213146.85719999994"/>
    <n v="222373.06"/>
    <n v="915719.72549999994"/>
    <n v="4.117943628153518"/>
  </r>
  <r>
    <n v="200202001004"/>
    <s v="ليمون 77 صاري جدة"/>
    <s v="Lemon 77 Sari Jeddah"/>
    <x v="0"/>
    <m/>
    <s v="Street"/>
    <n v="0"/>
    <s v="JEDDAH"/>
    <d v="2021-10-01T00:00:00"/>
    <n v="266172.73170000006"/>
    <n v="299924.61740000005"/>
    <n v="1232318.8420500001"/>
    <n v="4.1087619040170189"/>
  </r>
  <r>
    <n v="200201010928"/>
    <s v="ليمون 189 - طويق 3"/>
    <s v="Lemon 189 - Twaiq 3"/>
    <x v="5"/>
    <m/>
    <s v="Street"/>
    <n v="0"/>
    <s v="RIYADH"/>
    <d v="2023-12-07T00:00:00"/>
    <n v="223464.48729999995"/>
    <n v="219607.83899999998"/>
    <n v="901506.87199999997"/>
    <n v="4.1050760123367001"/>
  </r>
  <r>
    <n v="200201010946"/>
    <s v="ليمون - شعاع 2 الروضة"/>
    <s v="Lemon - Shoaa 2 Al Rawda"/>
    <x v="12"/>
    <m/>
    <s v="Polyclinic"/>
    <n v="0"/>
    <s v="RIYADH"/>
    <d v="2024-11-24T00:00:00"/>
    <n v="310180.13999999996"/>
    <n v="262904.49"/>
    <n v="1079156.53"/>
    <n v="4.104747431281984"/>
  </r>
  <r>
    <n v="200201030800"/>
    <s v="ليمون 75 البساتين بريدة"/>
    <s v="Lemon 75 Basatin"/>
    <x v="10"/>
    <m/>
    <s v="Street"/>
    <n v="0"/>
    <s v="AL QASSIM"/>
    <d v="2020-01-01T00:00:00"/>
    <n v="259163.87079999998"/>
    <n v="261688.75580000001"/>
    <n v="1070369.6174999999"/>
    <n v="4.0902392394652516"/>
  </r>
  <r>
    <n v="100202001036"/>
    <s v="صيدلية ليمون 19 السليمانية"/>
    <s v="Lemon 19 Sulaymaniyah"/>
    <x v="14"/>
    <m/>
    <s v="Street"/>
    <n v="0"/>
    <s v="RIYADH"/>
    <d v="2021-01-01T00:00:00"/>
    <n v="272502.88190000009"/>
    <n v="301661.79000000004"/>
    <n v="1232456.196"/>
    <n v="4.0855561985493747"/>
  </r>
  <r>
    <n v="100702001009"/>
    <s v="صيدلية ليمون 99"/>
    <s v="Lemon -99 Al-Qassim"/>
    <x v="10"/>
    <m/>
    <s v="Street"/>
    <n v="0"/>
    <s v="AL QASSIM"/>
    <d v="2018-01-01T00:00:00"/>
    <n v="278615.08059999993"/>
    <n v="318949.89924999984"/>
    <n v="1302671.1499999999"/>
    <n v="4.0842500752098942"/>
  </r>
  <r>
    <n v="200205010902"/>
    <s v="ليمون الحكمة سلامات"/>
    <s v="Lemon - Al Hikma Salamat"/>
    <x v="12"/>
    <m/>
    <s v="Polyclinic"/>
    <n v="0"/>
    <s v="SAKAKA"/>
    <d v="2024-01-18T00:00:00"/>
    <n v="103881.83749999999"/>
    <n v="103561.53"/>
    <n v="422577.34570000001"/>
    <n v="4.080447109076121"/>
  </r>
  <r>
    <n v="100202001037"/>
    <s v="صيدلية ليمون 32 النظيم"/>
    <s v="Lemon 32 Alnazim"/>
    <x v="8"/>
    <m/>
    <s v="Street"/>
    <n v="0"/>
    <s v="RIYADH"/>
    <d v="2020-02-01T00:00:00"/>
    <n v="214479.78469999996"/>
    <n v="227770.83199999994"/>
    <n v="927738.86300000001"/>
    <n v="4.0731240907966662"/>
  </r>
  <r>
    <n v="100202001020"/>
    <s v="صيدلية ليمون 20"/>
    <s v="LEMON-20"/>
    <x v="5"/>
    <m/>
    <s v="Street"/>
    <n v="0"/>
    <s v="RIYADH"/>
    <d v="2016-01-01T00:00:00"/>
    <n v="271720.92559999996"/>
    <n v="258085.54850000003"/>
    <n v="1048660.2290000001"/>
    <n v="4.0632272325778827"/>
  </r>
  <r>
    <n v="200205010903"/>
    <s v="ليمون 222 - القاعدة الجوية"/>
    <s v="Lemon 222 - Air Base"/>
    <x v="2"/>
    <m/>
    <s v="Street"/>
    <n v="0"/>
    <s v="TABUK"/>
    <d v="2024-02-19T00:00:00"/>
    <n v="185471.78289999996"/>
    <n v="173860.32"/>
    <n v="705325.34349999996"/>
    <n v="4.056850599952881"/>
  </r>
  <r>
    <n v="200201020300"/>
    <s v="ليمون 221 - الهياثم الخرج"/>
    <s v="Lemon 221 - Al Hayathem Al Kharj"/>
    <x v="8"/>
    <m/>
    <s v="Street"/>
    <n v="0"/>
    <s v="RIYADH"/>
    <d v="2024-05-03T00:00:00"/>
    <n v="185200.44690000001"/>
    <n v="206706.73250000001"/>
    <n v="836014.56550000003"/>
    <n v="4.0444476838701906"/>
  </r>
  <r>
    <n v="200201060200"/>
    <s v="ليمون 141 المجمعة ش الحزم"/>
    <s v="Lemon 141 Almajama Alhazm"/>
    <x v="10"/>
    <m/>
    <s v="Street"/>
    <n v="0"/>
    <s v="AL MAJMA'AH"/>
    <d v="2023-03-21T00:00:00"/>
    <n v="214223.39330000005"/>
    <n v="232616.42070000002"/>
    <n v="939692.16879999998"/>
    <n v="4.0396639496568438"/>
  </r>
  <r>
    <n v="100302001010"/>
    <s v="صيدلية ليمون 38"/>
    <s v="Lemon 38"/>
    <x v="10"/>
    <m/>
    <s v="Street"/>
    <n v="0"/>
    <s v="AL QASSIM"/>
    <d v="2018-01-01T00:00:00"/>
    <n v="136018.90370000002"/>
    <n v="155012.54999999999"/>
    <n v="624752.04150000005"/>
    <n v="4.0303320053763398"/>
  </r>
  <r>
    <n v="200204030060"/>
    <s v="ليمون 363 - أحد رفيدة 4"/>
    <s v="Lemon 363 - Ahd Rofaidah 4"/>
    <x v="7"/>
    <m/>
    <s v="Street"/>
    <n v="0"/>
    <s v="ABHA-KHAMIS"/>
    <d v="2026-02-27T00:00:00"/>
    <n v="75290.545399999988"/>
    <n v="134807.47960000002"/>
    <n v="543303.60239999997"/>
    <n v="4.0302185309901741"/>
  </r>
  <r>
    <n v="200203010500"/>
    <s v="ليمون 171 - السلام الدمام"/>
    <s v="Lemon 171 - Al Salam Dammam"/>
    <x v="6"/>
    <m/>
    <s v="Street"/>
    <n v="0"/>
    <s v="DAMMAM"/>
    <d v="2024-01-16T00:00:00"/>
    <n v="210629.98869999999"/>
    <n v="234169.22249999997"/>
    <n v="942152.6"/>
    <n v="4.0233835597246346"/>
  </r>
  <r>
    <n v="200204030038"/>
    <s v="ليمون 268 - الصفا جيزان"/>
    <s v="Lemon 268 - Safa Jazan"/>
    <x v="3"/>
    <m/>
    <s v="Street"/>
    <n v="0"/>
    <s v="JIZAN"/>
    <d v="2025-04-10T00:00:00"/>
    <n v="208892.01930000001"/>
    <n v="238430.48899999997"/>
    <n v="958816.98950000003"/>
    <n v="4.0213690519252347"/>
  </r>
  <r>
    <n v="200201010100"/>
    <s v="ليمون 56 اليرموك 2"/>
    <s v="Lemon 56 Yarmouk -02"/>
    <x v="1"/>
    <m/>
    <s v="Street"/>
    <n v="0"/>
    <s v="RIYADH"/>
    <d v="2021-06-01T00:00:00"/>
    <n v="307234.60460000002"/>
    <n v="356486.55749999994"/>
    <n v="1431422.0234999999"/>
    <n v="4.015360448759699"/>
  </r>
  <r>
    <n v="200202001017"/>
    <s v="ليمون 182 - حي ولي العهد"/>
    <s v="Lemon 182 - Waly Al Ahd"/>
    <x v="0"/>
    <m/>
    <s v="Street"/>
    <n v="0"/>
    <s v="MAKKAH"/>
    <d v="2023-11-25T00:00:00"/>
    <n v="177114.19679999995"/>
    <n v="186815.57749999998"/>
    <n v="750077.549"/>
    <n v="4.0150696159157286"/>
  </r>
  <r>
    <n v="200201010909"/>
    <s v="ليمون 148 بيرل حي الاذدهار"/>
    <s v="Lemon 148 - Pearl"/>
    <x v="4"/>
    <m/>
    <s v="Polyclinic"/>
    <n v="0"/>
    <s v="RIYADH"/>
    <d v="2023-02-01T00:00:00"/>
    <n v="197747.61560000002"/>
    <n v="214049.45999999993"/>
    <n v="858486.22400000005"/>
    <n v="4.0106909122779397"/>
  </r>
  <r>
    <n v="100302001016"/>
    <s v="صيدلية ليمون 44"/>
    <s v="Lemon 44 Hafr Al- Batin"/>
    <x v="6"/>
    <m/>
    <s v="Street"/>
    <n v="0"/>
    <s v="HAFAR AL BATIN"/>
    <d v="2018-01-01T00:00:00"/>
    <n v="114131.43060000001"/>
    <n v="129124.6198"/>
    <n v="517759.321"/>
    <n v="4.0097645344625441"/>
  </r>
  <r>
    <n v="100302001021"/>
    <s v="صيدلية ليمون 49"/>
    <s v="LEMON-49"/>
    <x v="8"/>
    <s v="MUSTAFA"/>
    <s v="Street"/>
    <n v="0"/>
    <s v="RIYADH"/>
    <d v="2019-01-01T00:00:00"/>
    <n v="108663.95679999997"/>
    <n v="139062.18"/>
    <n v="554110.39"/>
    <n v="3.9846232095599254"/>
  </r>
  <r>
    <n v="200201010956"/>
    <s v="ليمون 274 - العارض 4"/>
    <s v="Lemon 274 - Al Ared 4"/>
    <x v="14"/>
    <m/>
    <s v="Street"/>
    <n v="0"/>
    <s v="RIYADH"/>
    <d v="2025-01-28T00:00:00"/>
    <n v="194864.52440000002"/>
    <n v="195762.17429999998"/>
    <n v="779660.82649999997"/>
    <n v="3.9826939463044164"/>
  </r>
  <r>
    <n v="101202001001"/>
    <s v="ليمون عوافي 1"/>
    <s v="LEMON  AWAFY-01"/>
    <x v="9"/>
    <s v="MUSTAFA"/>
    <s v="Street"/>
    <n v="0"/>
    <s v="BISHA"/>
    <d v="2020-01-01T00:00:00"/>
    <n v="102408.88320000001"/>
    <n v="132483.60999999999"/>
    <n v="525547.03899999999"/>
    <n v="3.9668834431670459"/>
  </r>
  <r>
    <n v="200205010916"/>
    <s v="ليمون 292 - الخزامى القريات"/>
    <s v="Lemon 292 - Al Khuzama Qurayat"/>
    <x v="2"/>
    <m/>
    <s v="Street"/>
    <n v="0"/>
    <s v="QURAYYAT"/>
    <d v="2025-06-14T00:00:00"/>
    <n v="111977.10740000001"/>
    <n v="126232.91649999998"/>
    <n v="499932.61249999999"/>
    <n v="3.9603981779189907"/>
  </r>
  <r>
    <n v="200204030017"/>
    <s v="ليمون 172 - احد رفيدة 1"/>
    <s v="Lemon 172 - Ohoud Rofaidah 1"/>
    <x v="7"/>
    <m/>
    <s v="Street"/>
    <n v="0"/>
    <s v="ABHA-KHAMIS"/>
    <d v="2023-10-19T00:00:00"/>
    <n v="152602.22150000001"/>
    <n v="200096.96309999996"/>
    <n v="791467.28500000003"/>
    <n v="3.9554187766680813"/>
  </r>
  <r>
    <n v="200203010802"/>
    <s v="ليمون 211 - الاحساء التعليم"/>
    <s v="Lemon 211 - Al Ahsa Taaleem"/>
    <x v="6"/>
    <m/>
    <s v="Street"/>
    <n v="0"/>
    <s v="DAMMAM"/>
    <d v="2024-02-07T00:00:00"/>
    <n v="246969.57460000002"/>
    <n v="279578.95249999996"/>
    <n v="1103308.7239999999"/>
    <n v="3.9463225472954733"/>
  </r>
  <r>
    <n v="101002001001"/>
    <s v="ليمون 31 الفارابى  1"/>
    <s v="LEMON  31 FARABI-01"/>
    <x v="11"/>
    <m/>
    <s v="Polyclinic"/>
    <s v="مجمع الامل "/>
    <s v="RIYADH"/>
    <d v="2019-01-01T00:00:00"/>
    <n v="163370.22420000003"/>
    <n v="182456.10249999998"/>
    <n v="717593.299"/>
    <n v="3.9329640892663487"/>
  </r>
  <r>
    <n v="100702001002"/>
    <s v="صيدلية ليمون 92 الزجزاج"/>
    <s v="Lemon 92 -Zahrit  ( 2 )"/>
    <x v="10"/>
    <m/>
    <s v="Street"/>
    <n v="0"/>
    <s v="AL QASSIM"/>
    <d v="2018-01-01T00:00:00"/>
    <n v="265172.51300000004"/>
    <n v="262756.69779999997"/>
    <n v="1032208.8875"/>
    <n v="3.9283827820277932"/>
  </r>
  <r>
    <n v="200204030025"/>
    <s v="ليمون 89 - الضيافة 3"/>
    <s v="Lemon 89 - Al Dyafah 3"/>
    <x v="7"/>
    <s v="MUSTAFA"/>
    <s v="Street"/>
    <n v="0"/>
    <s v="ABHA-KHAMIS"/>
    <d v="2024-02-01T00:00:00"/>
    <n v="123394.0144"/>
    <n v="152902.48920000001"/>
    <n v="599861.31000000006"/>
    <n v="3.9231624883187317"/>
  </r>
  <r>
    <n v="200204020001"/>
    <s v="ليمون 125 مستوصف المستشاري"/>
    <s v="Lemon 125 Al- Mustashari Clinic"/>
    <x v="13"/>
    <m/>
    <s v="Polyclinic"/>
    <n v="0"/>
    <s v="BISHA"/>
    <d v="2022-05-20T00:00:00"/>
    <n v="198918.05749999997"/>
    <n v="222568.41500000001"/>
    <n v="871263.71349999995"/>
    <n v="3.9145883008602094"/>
  </r>
  <r>
    <n v="100202001015"/>
    <s v="صيدلية ليمون 15"/>
    <s v="LEMON-15"/>
    <x v="14"/>
    <m/>
    <s v="Street"/>
    <n v="0"/>
    <s v="RIYADH"/>
    <d v="2016-01-01T00:00:00"/>
    <n v="171822.21760000003"/>
    <n v="180173.3947"/>
    <n v="704770.07750000001"/>
    <n v="3.9116212394925807"/>
  </r>
  <r>
    <n v="200201010915"/>
    <s v="ليمون 143 - المهديه 2"/>
    <s v="Lemon 143 - Al Mahdiyah 2"/>
    <x v="1"/>
    <m/>
    <s v="Street"/>
    <n v="0"/>
    <s v="RIYADH"/>
    <d v="2023-05-22T00:00:00"/>
    <n v="180155.80690000003"/>
    <n v="178409.08749999994"/>
    <n v="694696.29749999999"/>
    <n v="3.8938391941497947"/>
  </r>
  <r>
    <n v="100202001014"/>
    <s v="صيدلية ليمون 14"/>
    <s v="LEMON-14"/>
    <x v="8"/>
    <m/>
    <s v="Street"/>
    <n v="0"/>
    <s v="RIYADH"/>
    <d v="2018-01-01T00:00:00"/>
    <n v="169656.00779999993"/>
    <n v="185373.74460000001"/>
    <n v="721531.44314999995"/>
    <n v="3.8923065653494922"/>
  </r>
  <r>
    <n v="102002005002"/>
    <s v="ليمون 22 الفيروز الشفا"/>
    <s v="Lemon 22 Fayrouz Shifa"/>
    <x v="11"/>
    <m/>
    <s v="Polyclinic"/>
    <n v="0"/>
    <s v="RIYADH"/>
    <d v="2021-06-01T00:00:00"/>
    <n v="360167.30450000003"/>
    <n v="354482.32799999986"/>
    <n v="1375539.2335000001"/>
    <n v="3.8804169484578668"/>
  </r>
  <r>
    <n v="100402001001"/>
    <s v="صيدلية ليمون ابن الحكيم"/>
    <s v="LEMON  IBN AL-HAKEEM"/>
    <x v="1"/>
    <m/>
    <s v="Street"/>
    <n v="0"/>
    <s v="RIYADH"/>
    <d v="2018-01-01T00:00:00"/>
    <n v="232684.59319999997"/>
    <n v="251003.09599999999"/>
    <n v="973672.74399999995"/>
    <n v="3.879126431173582"/>
  </r>
  <r>
    <n v="100302001025"/>
    <s v="صيدلية ليمون 53 عكاظ"/>
    <s v="LEMON-53  Uqadh"/>
    <x v="5"/>
    <m/>
    <s v="Street"/>
    <n v="0"/>
    <s v="RIYADH"/>
    <d v="2020-01-01T00:00:00"/>
    <n v="120769.22630000002"/>
    <n v="129316.41"/>
    <n v="500328.84399999998"/>
    <n v="3.8690282540321062"/>
  </r>
  <r>
    <n v="101202001011"/>
    <s v="ليمون عوافي 11"/>
    <s v="LEMON AWAFY-11"/>
    <x v="9"/>
    <m/>
    <s v="Street"/>
    <n v="0"/>
    <s v="BISHA"/>
    <d v="2024-12-02T00:00:00"/>
    <n v="78227.463900000002"/>
    <n v="144654.07999999999"/>
    <n v="559479.255"/>
    <n v="3.8677046302461711"/>
  </r>
  <r>
    <n v="200201010921"/>
    <s v="ليمون 160 - العارض 2"/>
    <s v="Lemon 160 - Al Ared 2"/>
    <x v="14"/>
    <m/>
    <s v="Street"/>
    <n v="0"/>
    <s v="RIYADH"/>
    <d v="2023-07-23T00:00:00"/>
    <n v="205862.32999999996"/>
    <n v="179944.82500000001"/>
    <n v="693623.28"/>
    <n v="3.8546442221942199"/>
  </r>
  <r>
    <n v="200201010957"/>
    <s v="ليمون 203 - مجمع الحياة اشبيليه"/>
    <s v="Lemon 203 - Hayat Polyclinic Ashbelia"/>
    <x v="13"/>
    <m/>
    <s v="Polyclinic"/>
    <n v="0"/>
    <s v="RIYADH"/>
    <d v="2025-02-04T00:00:00"/>
    <n v="292613.19699999999"/>
    <n v="283229.29149999999"/>
    <n v="1087844.6810000001"/>
    <n v="3.8408622047483396"/>
  </r>
  <r>
    <n v="100202001029"/>
    <s v="صيدلية ليمون 29"/>
    <s v="LEMON-29"/>
    <x v="14"/>
    <m/>
    <s v="Street"/>
    <n v="0"/>
    <s v="RIYADH"/>
    <d v="2018-01-01T00:00:00"/>
    <n v="274992.01099999994"/>
    <n v="280619.01370000007"/>
    <n v="1077340.0855"/>
    <n v="3.839155698308264"/>
  </r>
  <r>
    <n v="100502001005"/>
    <s v="ليمون 65 الدرعية"/>
    <s v="LEMON-65"/>
    <x v="14"/>
    <m/>
    <s v="Street"/>
    <n v="0"/>
    <s v="RIYADH"/>
    <d v="2016-01-01T00:00:00"/>
    <n v="192520.83820000003"/>
    <n v="256523.55350000001"/>
    <n v="983092.78399999999"/>
    <n v="3.8323684924316312"/>
  </r>
  <r>
    <n v="200204020003"/>
    <s v="ليمون 128 مستوصف عنايتي 2"/>
    <s v="Lemon 128 Enaya NO-2 Clinic"/>
    <x v="13"/>
    <m/>
    <s v="Polyclinic"/>
    <n v="0"/>
    <s v="BISHA"/>
    <d v="2022-05-20T00:00:00"/>
    <n v="188921.01250000001"/>
    <n v="217975.50550000003"/>
    <n v="828024.32744999998"/>
    <n v="3.7987035541018614"/>
  </r>
  <r>
    <n v="200204030003"/>
    <s v="ليمون 84 الروضة المطار جازان"/>
    <s v="Lemon 84 Jizan Rawdah Airport Rd"/>
    <x v="3"/>
    <m/>
    <s v="Street"/>
    <n v="0"/>
    <s v="JIZAN"/>
    <d v="2021-08-05T00:00:00"/>
    <n v="218059.12950000001"/>
    <n v="215189.51500000001"/>
    <n v="816962.00549999997"/>
    <n v="3.7964768195141847"/>
  </r>
  <r>
    <n v="100202001025"/>
    <s v="صيدلية ليمون 25"/>
    <s v="LEMON-25"/>
    <x v="8"/>
    <m/>
    <s v="Street"/>
    <n v="0"/>
    <s v="RIYADH"/>
    <d v="2018-01-01T00:00:00"/>
    <n v="184028.30769999998"/>
    <n v="200371.21"/>
    <n v="760533.51650000003"/>
    <n v="3.7956227169561938"/>
  </r>
  <r>
    <n v="100302001014"/>
    <s v="صيدلية ليمون 42"/>
    <s v="LEMON-42"/>
    <x v="8"/>
    <s v="MUSTAFA"/>
    <s v="Street"/>
    <n v="0"/>
    <s v="RIYADH"/>
    <d v="2018-01-01T00:00:00"/>
    <n v="128127.788"/>
    <n v="151408.46000000002"/>
    <n v="572766.00150000001"/>
    <n v="3.7829194055602966"/>
  </r>
  <r>
    <n v="100702001007"/>
    <s v="صيدلية  ليمون 97"/>
    <s v="Lemon-97 Al-Qassim"/>
    <x v="10"/>
    <m/>
    <s v="Street"/>
    <n v="0"/>
    <s v="AL QASSIM"/>
    <d v="2018-01-01T00:00:00"/>
    <n v="267857.38529999997"/>
    <n v="288425.924"/>
    <n v="1090657.1095"/>
    <n v="3.781411512440886"/>
  </r>
  <r>
    <n v="200201010700"/>
    <s v="ليمون 114 مستوصف حطين"/>
    <s v="Lemon 114 Hetteen Medical"/>
    <x v="12"/>
    <m/>
    <s v="Polyclinic"/>
    <n v="0"/>
    <s v="RIYADH"/>
    <d v="2022-01-04T00:00:00"/>
    <n v="283249.55199999997"/>
    <n v="258472.23"/>
    <n v="976812.98100000003"/>
    <n v="3.7791796085792271"/>
  </r>
  <r>
    <n v="200203010100"/>
    <s v="ليمون 170 - النور الدمام"/>
    <s v="Lemon 170 - Al Noor Damam"/>
    <x v="6"/>
    <m/>
    <s v="Street"/>
    <n v="0"/>
    <s v="DAMMAM"/>
    <d v="2023-08-26T00:00:00"/>
    <n v="279594.41509999998"/>
    <n v="287369.45649999991"/>
    <n v="1085858.9809999999"/>
    <n v="3.7786165385325154"/>
  </r>
  <r>
    <n v="102002001001"/>
    <s v="ليمون 116 وصفات الصحة للادوية"/>
    <s v="Lemon 116 Wasifat Al Seha"/>
    <x v="13"/>
    <m/>
    <s v="Polyclinic"/>
    <s v="اصداء الصحه "/>
    <s v="RIYADH"/>
    <d v="2020-06-01T00:00:00"/>
    <n v="419524.75000000006"/>
    <n v="334931.02999999997"/>
    <n v="1264056.9175"/>
    <n v="3.7740812414424547"/>
  </r>
  <r>
    <n v="200202001010"/>
    <s v="ليمون 144 - الشراع"/>
    <s v="Lemon 144 - Al Sheraa"/>
    <x v="0"/>
    <m/>
    <s v="Street"/>
    <n v="0"/>
    <s v="JEDDAH"/>
    <d v="2023-04-01T00:00:00"/>
    <n v="258966.40189999997"/>
    <n v="280336.34999999992"/>
    <n v="1052313.122"/>
    <n v="3.7537519554635006"/>
  </r>
  <r>
    <n v="200204030052"/>
    <s v="ليمون 304 الحصين نجران"/>
    <s v="Lemon 304 Al-Hussain Najran"/>
    <x v="3"/>
    <m/>
    <s v="Street"/>
    <n v="0"/>
    <s v="NAJRAN"/>
    <d v="2025-10-13T00:00:00"/>
    <n v="195777.99299999999"/>
    <n v="250157.19349999996"/>
    <n v="935212.68200000003"/>
    <n v="3.7385000563655595"/>
  </r>
  <r>
    <n v="101202001005"/>
    <s v="ليمون عوافي 5"/>
    <s v="LEMON AWAFY-05"/>
    <x v="9"/>
    <s v="MUSTAFA"/>
    <s v="Street"/>
    <n v="0"/>
    <s v="BISHA"/>
    <d v="2020-01-01T00:00:00"/>
    <n v="93047.190099999978"/>
    <n v="143162.49"/>
    <n v="534662.30799999996"/>
    <n v="3.7346535953656574"/>
  </r>
  <r>
    <n v="200201010300"/>
    <s v="ليمون 105 اشبيليا كمبوند رقم 2"/>
    <s v="Lemon 105 Ashbelia NO-2 Compaund"/>
    <x v="1"/>
    <m/>
    <s v="Street"/>
    <n v="0"/>
    <s v="RIYADH"/>
    <d v="2021-12-01T00:00:00"/>
    <n v="290790.28950000001"/>
    <n v="339963.13749999995"/>
    <n v="1259452.8695"/>
    <n v="3.7046748031615642"/>
  </r>
  <r>
    <n v="200203010300"/>
    <s v="ليمون 187 - التاسعه كلينيك"/>
    <s v="Lemon 187 - Ninth Clinic"/>
    <x v="13"/>
    <m/>
    <s v="Polyclinic"/>
    <n v="0"/>
    <s v="DAMMAM"/>
    <d v="2023-09-23T00:00:00"/>
    <n v="170318.82999999996"/>
    <n v="169388.83000000005"/>
    <n v="620749.89"/>
    <n v="3.6646447702602343"/>
  </r>
  <r>
    <n v="200202001001"/>
    <s v="ليمون 78 الصفا جدة"/>
    <s v="Lemon 78 Safa Jeddah"/>
    <x v="0"/>
    <m/>
    <s v="Street"/>
    <n v="0"/>
    <s v="JEDDAH"/>
    <d v="2021-09-01T00:00:00"/>
    <n v="159491.69910000003"/>
    <n v="189979.7065"/>
    <n v="696170.11399999994"/>
    <n v="3.6644446231945302"/>
  </r>
  <r>
    <n v="100702001005"/>
    <s v="صيدلية  ليمون 95"/>
    <s v="Zahrit ( 5 ) lemon 95"/>
    <x v="10"/>
    <m/>
    <s v="Street"/>
    <n v="0"/>
    <s v="AL QASSIM"/>
    <d v="2018-01-01T00:00:00"/>
    <n v="150449.6912"/>
    <n v="160514.35999999996"/>
    <n v="588178.14014999999"/>
    <n v="3.664333459947136"/>
  </r>
  <r>
    <n v="200201010943"/>
    <s v="ليمون 243 - مجمع مداي الشفا"/>
    <s v="Lemon 243 - Madai Shifa Polyclinic"/>
    <x v="11"/>
    <m/>
    <s v="Polyclinic"/>
    <n v="0"/>
    <s v="RIYADH"/>
    <d v="2024-08-14T00:00:00"/>
    <n v="172166.65740000003"/>
    <n v="196923.09299999999"/>
    <n v="719651.40150000004"/>
    <n v="3.6544794748881992"/>
  </r>
  <r>
    <n v="101202001004"/>
    <s v="ليمون 96 عوافي 4"/>
    <s v="LEMON 96 AWAFY-04"/>
    <x v="9"/>
    <m/>
    <s v="Street"/>
    <n v="0"/>
    <s v="BISHA"/>
    <d v="2020-01-01T00:00:00"/>
    <n v="183841.37339999998"/>
    <n v="242104.06969999999"/>
    <n v="879100.74676000001"/>
    <n v="3.6310862012742118"/>
  </r>
  <r>
    <n v="200203010812"/>
    <s v="ليمون 294 - الثقبة الخبر"/>
    <s v="Lemon 294 - Thuqba Khobar"/>
    <x v="6"/>
    <m/>
    <s v="Street"/>
    <n v="0"/>
    <s v="DAMMAM"/>
    <d v="2025-05-28T00:00:00"/>
    <n v="275392.23259999993"/>
    <n v="286758.0025"/>
    <n v="1040267.6155"/>
    <n v="3.627684690333969"/>
  </r>
  <r>
    <n v="100902001001"/>
    <s v="ليمون روضة الشفا"/>
    <s v="LEMON RAWDA EL SHIFA"/>
    <x v="12"/>
    <m/>
    <s v="Polyclinic"/>
    <s v="خالد "/>
    <s v="RIYADH"/>
    <d v="2018-01-01T00:00:00"/>
    <n v="428177.22020000004"/>
    <n v="431811.44"/>
    <n v="1563229.0759999999"/>
    <n v="3.6201659594752744"/>
  </r>
  <r>
    <n v="200202001014"/>
    <s v="ليمون 173 - طيبة"/>
    <s v="Lemon 173 - Taiba"/>
    <x v="0"/>
    <m/>
    <s v="Street"/>
    <n v="0"/>
    <s v="JEDDAH"/>
    <d v="2023-08-18T00:00:00"/>
    <n v="198674.01"/>
    <n v="235145.91999999998"/>
    <n v="850864.08250000002"/>
    <n v="3.6184513960522899"/>
  </r>
  <r>
    <n v="200204030021"/>
    <s v="ليمون 167 - الحي الراقي 2"/>
    <s v="Lemon 167- Alhay Alraqi 02"/>
    <x v="9"/>
    <m/>
    <s v="Street"/>
    <n v="0"/>
    <s v="ABHA-KHAMIS"/>
    <d v="2023-08-22T00:00:00"/>
    <n v="188053.69230000002"/>
    <n v="225685.3798"/>
    <n v="813454.64199999999"/>
    <n v="3.6043745621487528"/>
  </r>
  <r>
    <n v="200201010940"/>
    <s v="ليمون 238 - العارض 3"/>
    <s v="Lemon 238 - Al Ared 3"/>
    <x v="14"/>
    <m/>
    <s v="Street"/>
    <n v="0"/>
    <s v="RIYADH"/>
    <d v="2024-06-29T00:00:00"/>
    <n v="191318.7107"/>
    <n v="192133.02"/>
    <n v="692337.51300000004"/>
    <n v="3.6034280468812705"/>
  </r>
  <r>
    <n v="100202001024"/>
    <s v="صيدلية ليمون 24"/>
    <s v="LEMON-24"/>
    <x v="5"/>
    <s v="MUSTAFA"/>
    <s v="Street"/>
    <n v="0"/>
    <s v="RIYADH"/>
    <d v="2018-01-01T00:00:00"/>
    <n v="134930.03369999997"/>
    <n v="170308.84300000005"/>
    <n v="612489.94999999995"/>
    <n v="3.5963484879055856"/>
  </r>
  <r>
    <n v="200204030007"/>
    <s v="ليمون 82 هايبر اماسي جازان"/>
    <s v="Lemon 82 Jizan Hyper Amassi"/>
    <x v="3"/>
    <m/>
    <s v="Street"/>
    <n v="0"/>
    <s v="JIZAN"/>
    <d v="2022-03-10T00:00:00"/>
    <n v="257189.48390000005"/>
    <n v="338453.8885"/>
    <n v="1216074.7949999999"/>
    <n v="3.5930294681782033"/>
  </r>
  <r>
    <n v="100202001013"/>
    <s v="صيدلية ليمون 13"/>
    <s v="LEMON-13"/>
    <x v="8"/>
    <m/>
    <s v="Street"/>
    <n v="0"/>
    <s v="RIYADH"/>
    <d v="2018-01-01T00:00:00"/>
    <n v="155490.80160000001"/>
    <n v="183970.55650000004"/>
    <n v="654900.49750000006"/>
    <n v="3.5598114717884215"/>
  </r>
  <r>
    <n v="100202001007"/>
    <s v="صيدلية ليمون 07"/>
    <s v="LEMON-07"/>
    <x v="1"/>
    <m/>
    <s v="Street"/>
    <n v="0"/>
    <s v="RIYADH"/>
    <d v="2016-01-01T00:00:00"/>
    <n v="246914.15740000003"/>
    <n v="278288.47779999994"/>
    <n v="983702.86399999994"/>
    <n v="3.5348314517964572"/>
  </r>
  <r>
    <n v="100302001024"/>
    <s v="صيدلية ليمون 52"/>
    <s v="LEMON-52"/>
    <x v="8"/>
    <m/>
    <s v="Street"/>
    <n v="0"/>
    <s v="RIYADH"/>
    <d v="2019-01-01T00:00:00"/>
    <n v="122576.40890000001"/>
    <n v="123790.23500000003"/>
    <n v="434953.55099999998"/>
    <n v="3.5136337773330819"/>
  </r>
  <r>
    <n v="200204030029"/>
    <s v="ليمون 241 - مجمع بسمات نجران"/>
    <s v="Lemon 241 - Basmaat Polyclinic Najran"/>
    <x v="13"/>
    <m/>
    <s v="Polyclinic"/>
    <n v="0"/>
    <s v="NAJRAN"/>
    <d v="2024-06-23T00:00:00"/>
    <n v="124496.30090000002"/>
    <n v="151436.85"/>
    <n v="523333.89"/>
    <n v="3.4557895915029926"/>
  </r>
  <r>
    <n v="200201010800"/>
    <s v="ليمون 113 اشبيليا رقم 1 الحسين بن علي"/>
    <s v="Lemon  113 Ashbelia No-1"/>
    <x v="1"/>
    <m/>
    <s v="Street"/>
    <n v="0"/>
    <s v="RIYADH"/>
    <d v="2022-01-20T00:00:00"/>
    <n v="257512.53239999997"/>
    <n v="296384.07700000005"/>
    <n v="1023810.056"/>
    <n v="3.4543355579793844"/>
  </r>
  <r>
    <n v="100302001006"/>
    <s v="صيدلية ليمون 34"/>
    <s v="LEMON-34"/>
    <x v="14"/>
    <m/>
    <s v="Street"/>
    <n v="0"/>
    <s v="RIYADH"/>
    <d v="2018-01-01T00:00:00"/>
    <n v="210247.41340000002"/>
    <n v="244003.01314999996"/>
    <n v="842755.18055000005"/>
    <n v="3.4538720226045707"/>
  </r>
  <r>
    <n v="100502001001"/>
    <s v="ليمون 61 النهضة"/>
    <s v="LEMON-61"/>
    <x v="1"/>
    <m/>
    <s v="Street"/>
    <n v="0"/>
    <s v="RIYADH"/>
    <d v="2016-01-01T00:00:00"/>
    <n v="336404.84190000012"/>
    <n v="348051.09700000007"/>
    <n v="1199442.7105"/>
    <n v="3.4461684529613761"/>
  </r>
  <r>
    <n v="100202001021"/>
    <s v="صيدلية ليمون 21"/>
    <s v="LEMON-21"/>
    <x v="5"/>
    <m/>
    <s v="Street"/>
    <n v="0"/>
    <s v="RIYADH"/>
    <d v="2018-01-01T00:00:00"/>
    <n v="240888.85609999998"/>
    <n v="268586.60249999992"/>
    <n v="912929.82799999998"/>
    <n v="3.399014766568635"/>
  </r>
  <r>
    <n v="200204010002"/>
    <s v="ليمون 147  - الموظفين"/>
    <s v="Lemon 147 - Al Mozvin"/>
    <x v="7"/>
    <m/>
    <s v="Street"/>
    <n v="0"/>
    <s v="ABHA-KHAMIS"/>
    <d v="2023-05-18T00:00:00"/>
    <n v="220782.08559999999"/>
    <n v="286121.96359999996"/>
    <n v="962256.38749999995"/>
    <n v="3.3630986429452845"/>
  </r>
  <r>
    <n v="100202001005"/>
    <s v="صيدلية ليمون 05"/>
    <s v="LEMON-05"/>
    <x v="1"/>
    <m/>
    <s v="Street"/>
    <n v="0"/>
    <s v="RIYADH"/>
    <d v="2016-01-01T00:00:00"/>
    <n v="352682.47149999987"/>
    <n v="389854.99280000001"/>
    <n v="1299939.4350000001"/>
    <n v="3.3344178194657204"/>
  </r>
  <r>
    <n v="200201010944"/>
    <s v="ليمون 261 - مجمع الرياض الطبي"/>
    <s v="Lemon 261 - AL Riyadh Medical Center"/>
    <x v="4"/>
    <m/>
    <s v="Polyclinic"/>
    <n v="0"/>
    <s v="RIYADH"/>
    <d v="2024-11-09T00:00:00"/>
    <n v="424316.46250000002"/>
    <n v="385517.22000000009"/>
    <n v="1264238.6935000001"/>
    <n v="3.2793313188448487"/>
  </r>
  <r>
    <n v="200201030600"/>
    <s v="ليمون حي الفايزية رقم 139"/>
    <s v="Lemon 139 - Al Fayziyyah"/>
    <x v="10"/>
    <m/>
    <s v="Street"/>
    <n v="0"/>
    <s v="AL QASSIM"/>
    <d v="2023-02-25T00:00:00"/>
    <n v="291326.20299999998"/>
    <n v="327721.08319999994"/>
    <n v="1067028.628"/>
    <n v="3.2559047394238574"/>
  </r>
  <r>
    <n v="100202001045"/>
    <s v="صيدلية ليمون 35 حي ام الحمام"/>
    <s v="Lemon 35 Om Alhamam"/>
    <x v="14"/>
    <m/>
    <s v="Street"/>
    <n v="0"/>
    <s v="RIYADH"/>
    <d v="2020-04-01T00:00:00"/>
    <n v="277938.39960000006"/>
    <n v="303548.84999999992"/>
    <n v="985291.41399999999"/>
    <n v="3.2459072534783124"/>
  </r>
  <r>
    <n v="101002001002"/>
    <s v="ليمون  43 الفارابى  2"/>
    <s v="LEMON 43 FARABI-02"/>
    <x v="14"/>
    <m/>
    <s v="Street"/>
    <n v="0"/>
    <s v="RIYADH"/>
    <d v="2018-01-01T00:00:00"/>
    <n v="197116.70789999995"/>
    <n v="219625.60000000001"/>
    <n v="710428.59499999997"/>
    <n v="3.2347258015459035"/>
  </r>
  <r>
    <n v="101202001007"/>
    <s v="ليمون عوافي 7"/>
    <s v="LEMON AWAFY-07"/>
    <x v="9"/>
    <m/>
    <s v="Street"/>
    <n v="0"/>
    <s v="BISHA"/>
    <d v="2023-03-23T00:00:00"/>
    <n v="212999.98919999998"/>
    <n v="245972.52250000005"/>
    <n v="795456.88800000004"/>
    <n v="3.2339258056761193"/>
  </r>
  <r>
    <n v="101202001003"/>
    <s v="ليمون عوافي 3"/>
    <s v="LEMON AWAFY-03"/>
    <x v="9"/>
    <m/>
    <s v="Street"/>
    <n v="0"/>
    <s v="BISHA"/>
    <d v="2020-01-01T00:00:00"/>
    <n v="231176.36169999995"/>
    <n v="242303.39850000001"/>
    <n v="780691.13150000002"/>
    <n v="3.2219570023901252"/>
  </r>
  <r>
    <n v="200204020004"/>
    <s v="ليمون - مجمع برج التقدم"/>
    <s v="Lemon - Borj Taqdom Polyclinic"/>
    <x v="13"/>
    <m/>
    <s v="Polyclinic"/>
    <n v="0"/>
    <s v="BISHA"/>
    <d v="2024-11-14T00:00:00"/>
    <n v="247601.83000000005"/>
    <n v="204124.88000000003"/>
    <n v="656528.51249999995"/>
    <n v="3.2163081369600799"/>
  </r>
  <r>
    <n v="200204030042"/>
    <s v="ليمون 291 - سراه عبيد 1 حي النور عسير"/>
    <s v="Lemon 291 - Sarat Obida 1"/>
    <x v="7"/>
    <m/>
    <s v="Street"/>
    <n v="0"/>
    <s v="ABHA-KHAMIS"/>
    <d v="2025-05-26T00:00:00"/>
    <n v="157052.96109999996"/>
    <n v="251579.29509999996"/>
    <n v="807341.19350000005"/>
    <n v="3.2090923586501461"/>
  </r>
  <r>
    <n v="200201010972"/>
    <s v="ليمون 368 - مجمع العليا الطبي"/>
    <s v="Lemon 368 - Olaya Medical Center"/>
    <x v="11"/>
    <m/>
    <s v="Polyclinic"/>
    <n v="0"/>
    <s v="RIYADH"/>
    <d v="2026-03-06T00:00:00"/>
    <n v="817221.49799999991"/>
    <n v="777569.80199999991"/>
    <n v="2495156.0483499998"/>
    <n v="3.2089158322920572"/>
  </r>
  <r>
    <n v="200204010004"/>
    <s v="ليمون 250 - البديع أبها"/>
    <s v="Lemon 250 - Al Badiaa Abha"/>
    <x v="7"/>
    <m/>
    <s v="Street"/>
    <n v="0"/>
    <s v="ABHA-KHAMIS"/>
    <d v="2024-10-13T00:00:00"/>
    <n v="133648.76319999999"/>
    <n v="177103.91500000001"/>
    <n v="565476.88950000005"/>
    <n v="3.1929101595523735"/>
  </r>
  <r>
    <n v="200201010937"/>
    <s v="ليمون 227 - اشبيليه 3"/>
    <s v="Lemon 227 - Ishbiliyah 3"/>
    <x v="1"/>
    <m/>
    <s v="Street"/>
    <n v="0"/>
    <s v="RIYADH"/>
    <d v="2024-03-26T00:00:00"/>
    <n v="536039.43689999986"/>
    <n v="526070.75499999989"/>
    <n v="1678032.4055000001"/>
    <n v="3.1897466064236939"/>
  </r>
  <r>
    <n v="200204030015"/>
    <s v="ليمون 153 - الشباعه"/>
    <s v="Lemon 153 - Al Shubaah"/>
    <x v="9"/>
    <m/>
    <s v="Street"/>
    <n v="0"/>
    <s v="ABHA-KHAMIS"/>
    <d v="2023-05-07T00:00:00"/>
    <n v="255546.65299999999"/>
    <n v="325733.62079999998"/>
    <n v="1038345.85675"/>
    <n v="3.1877147167057189"/>
  </r>
  <r>
    <n v="100302001030"/>
    <s v="صيدلية ليمون 58"/>
    <s v="LEMON-58"/>
    <x v="14"/>
    <m/>
    <s v="Street"/>
    <n v="0"/>
    <s v="RIYADH"/>
    <d v="2020-06-01T00:00:00"/>
    <n v="522777.67560000002"/>
    <n v="579433.48000000021"/>
    <n v="1829625.517"/>
    <n v="3.1576109771910303"/>
  </r>
  <r>
    <n v="200201010933"/>
    <s v="ليمون 225 - مجمع الغد"/>
    <s v="Lemon - 225 Al Ghad  Polyclini"/>
    <x v="13"/>
    <m/>
    <s v="Polyclinic"/>
    <n v="0"/>
    <s v="RIYADH"/>
    <d v="2024-02-14T00:00:00"/>
    <n v="223247.72999999998"/>
    <n v="320344.29700000002"/>
    <n v="1007486.44"/>
    <n v="3.1450113188685855"/>
  </r>
  <r>
    <n v="100202001039"/>
    <s v="ليمون 100 مول النخيل الرياض"/>
    <s v="Lemon 100 Alnakheel Mall Riyadh"/>
    <x v="1"/>
    <m/>
    <s v="Street"/>
    <n v="0"/>
    <s v="RIYADH"/>
    <d v="2021-06-01T00:00:00"/>
    <n v="647598.89449999994"/>
    <n v="770891.12999999989"/>
    <n v="2417966.034"/>
    <n v="3.1365856213704268"/>
  </r>
  <r>
    <n v="200201010903"/>
    <s v="ليمون 130 ريفلكت"/>
    <s v="Lemon 130 Reflect"/>
    <x v="11"/>
    <m/>
    <s v="Polyclinic"/>
    <n v="0"/>
    <s v="RIYADH"/>
    <d v="2022-11-16T00:00:00"/>
    <n v="225296.59"/>
    <n v="203248.44"/>
    <n v="619457.94499999995"/>
    <n v="3.047786959644069"/>
  </r>
  <r>
    <n v="100802001003"/>
    <s v="ليمون 117 صحة 10"/>
    <s v="LEMON 117 SEHA-10"/>
    <x v="1"/>
    <m/>
    <s v="Street"/>
    <n v="0"/>
    <s v="RIYADH"/>
    <d v="2019-01-01T00:00:00"/>
    <n v="457973.80190000002"/>
    <n v="398167.99820000003"/>
    <n v="1212189.9805000001"/>
    <n v="3.0444184012275048"/>
  </r>
  <r>
    <n v="100202001032"/>
    <s v="صيدلية ليمون 23 إيفا"/>
    <s v="LEMON 23 EVA"/>
    <x v="14"/>
    <m/>
    <s v="Street"/>
    <n v="0"/>
    <s v="RIYADH"/>
    <d v="2020-01-01T00:00:00"/>
    <n v="436894.91850000003"/>
    <n v="479091.35499999998"/>
    <n v="1451824.3905"/>
    <n v="3.0303706701198982"/>
  </r>
  <r>
    <n v="200201010949"/>
    <s v="ليمون - الوطن 3 الربوة"/>
    <s v="Lemon - Watan 3 Al Rabwa"/>
    <x v="12"/>
    <m/>
    <s v="Polyclinic"/>
    <n v="0"/>
    <s v="RIYADH"/>
    <d v="2024-11-23T00:00:00"/>
    <n v="528553.17499999993"/>
    <n v="542833.505"/>
    <n v="1644473.2350000001"/>
    <n v="3.0294247128316076"/>
  </r>
  <r>
    <n v="100202001008"/>
    <s v="صيدلية ليمون 08"/>
    <s v="LEMON-08"/>
    <x v="5"/>
    <m/>
    <s v="Street"/>
    <n v="0"/>
    <s v="RIYADH"/>
    <d v="2018-01-01T00:00:00"/>
    <n v="281484.14010000008"/>
    <n v="321279.5799999999"/>
    <n v="972216.10900000005"/>
    <n v="3.0260750122992577"/>
  </r>
  <r>
    <n v="200201010922"/>
    <s v="ليمون 176 - جابر الصباح"/>
    <s v="Lemon 176 - Jaber Sabah"/>
    <x v="1"/>
    <m/>
    <s v="Street"/>
    <n v="0"/>
    <s v="RIYADH"/>
    <d v="2023-10-22T00:00:00"/>
    <n v="509521.6278999999"/>
    <n v="553429.2899999998"/>
    <n v="1673408.6795000001"/>
    <n v="3.0237081949529645"/>
  </r>
  <r>
    <n v="200205010901"/>
    <s v="ليمون 259 - سلامات 3"/>
    <s v="Lemon 259 - Salamat 3"/>
    <x v="12"/>
    <m/>
    <s v="Polyclinic"/>
    <s v="ريان الشرق"/>
    <s v="HAIL"/>
    <d v="2024-01-15T00:00:00"/>
    <n v="363951.18450000015"/>
    <n v="330701.28000000003"/>
    <n v="997025.42949999997"/>
    <n v="3.0148822813749008"/>
  </r>
  <r>
    <n v="100302001023"/>
    <s v="صيدلية ليمون 51"/>
    <s v="LEMON-51"/>
    <x v="5"/>
    <m/>
    <s v="Street"/>
    <n v="0"/>
    <s v="RIYADH"/>
    <d v="2019-01-01T00:00:00"/>
    <n v="236158.70630000002"/>
    <n v="271448.39349999995"/>
    <n v="816991.23549999995"/>
    <n v="3.0097479118070378"/>
  </r>
  <r>
    <n v="200204030016"/>
    <s v="ليمون 154 - تندحة"/>
    <s v="Lemon 154 - Tandaha"/>
    <x v="9"/>
    <m/>
    <s v="Street"/>
    <n v="0"/>
    <s v="ABHA-KHAMIS"/>
    <d v="2023-05-12T00:00:00"/>
    <n v="224303.5001"/>
    <n v="309741.10279999994"/>
    <n v="921154.28200000001"/>
    <n v="2.9739491261345123"/>
  </r>
  <r>
    <n v="100202001002"/>
    <s v="صيدلية ليمون 02"/>
    <s v="LEMON-02"/>
    <x v="1"/>
    <m/>
    <s v="Street"/>
    <n v="0"/>
    <s v="RIYADH"/>
    <d v="2016-01-01T00:00:00"/>
    <n v="436083.68950000015"/>
    <n v="544587.08250000002"/>
    <n v="1600914.7895"/>
    <n v="2.939685572692591"/>
  </r>
  <r>
    <n v="100302001027"/>
    <s v="صيدلية ليمون 55"/>
    <s v="LEMON-55"/>
    <x v="5"/>
    <m/>
    <s v="Street"/>
    <n v="0"/>
    <s v="RIYADH"/>
    <d v="2020-01-01T00:00:00"/>
    <n v="509126.05040000007"/>
    <n v="614358.66069999989"/>
    <n v="1795005.3529999999"/>
    <n v="2.9217547791297869"/>
  </r>
  <r>
    <n v="200201010910"/>
    <s v="ليمون رقم 1 حي المعالي"/>
    <s v="Lemon No1- Al-Maali"/>
    <x v="11"/>
    <m/>
    <s v="Polyclinic"/>
    <s v="ليمون الشرق"/>
    <s v="RIYADH"/>
    <d v="2023-02-08T00:00:00"/>
    <n v="337736.02500000008"/>
    <n v="349065.82700000005"/>
    <n v="1011018.0045"/>
    <n v="2.896353427630141"/>
  </r>
  <r>
    <n v="200204030023"/>
    <s v="ليمون 191 مجمع العميس"/>
    <s v="Lemon 191 Al Emeis Polyclinic"/>
    <x v="13"/>
    <m/>
    <s v="Polyclinic"/>
    <n v="0"/>
    <s v="ABHA-KHAMIS"/>
    <d v="2023-09-20T00:00:00"/>
    <n v="276754.16450000007"/>
    <n v="291293.07900000003"/>
    <n v="841986.01190000004"/>
    <n v="2.8905115589787149"/>
  </r>
  <r>
    <n v="200201010902"/>
    <s v="ليمون 134 ادمه"/>
    <s v="Lemon 134 Adama"/>
    <x v="11"/>
    <m/>
    <s v="Polyclinic"/>
    <n v="0"/>
    <s v="RIYADH"/>
    <d v="2022-10-16T00:00:00"/>
    <n v="604585.21249999991"/>
    <n v="739517.42500000005"/>
    <n v="2108192.7149999999"/>
    <n v="2.8507681411293313"/>
  </r>
  <r>
    <n v="100202001012"/>
    <s v="صيدلية ليمون 12"/>
    <s v="LEMON-12"/>
    <x v="5"/>
    <m/>
    <s v="Street"/>
    <n v="0"/>
    <s v="RIYADH"/>
    <d v="2016-01-01T00:00:00"/>
    <n v="521518.65750000003"/>
    <n v="592728.52610000002"/>
    <n v="1673335.067"/>
    <n v="2.8231053396571122"/>
  </r>
  <r>
    <n v="200201010973"/>
    <s v="ليمون 382 - مستوصف إنجاز 2"/>
    <s v="Lemon 382 - Enjaz Polyclinic 2"/>
    <x v="4"/>
    <m/>
    <s v="Polyclinic"/>
    <n v="0"/>
    <s v="RIYADH"/>
    <d v="2026-05-12T00:00:00"/>
    <n v="153691.40899999996"/>
    <n v="179688.95000000004"/>
    <n v="506509.22"/>
    <n v="2.8188111734193999"/>
  </r>
  <r>
    <n v="200201010932"/>
    <s v="ليمون 166 - النرجس 1"/>
    <s v="Lemon 166 - Al Narjis 1"/>
    <x v="14"/>
    <m/>
    <s v="Street"/>
    <n v="0"/>
    <s v="RIYADH"/>
    <d v="2024-02-09T00:00:00"/>
    <n v="368880.55660000001"/>
    <n v="424873.1700000001"/>
    <n v="1191276.764"/>
    <n v="2.8038408826803529"/>
  </r>
  <r>
    <n v="100202001038"/>
    <s v="صيدلية ليمون 93 اليرموك رقم 1"/>
    <s v="Lemon 93 Yarmouk no-1"/>
    <x v="1"/>
    <m/>
    <s v="Street"/>
    <n v="0"/>
    <s v="RIYADH"/>
    <d v="2021-01-01T00:00:00"/>
    <n v="635241.70199999993"/>
    <n v="800192.16150000016"/>
    <n v="2234483.327"/>
    <n v="2.7924334110088624"/>
  </r>
  <r>
    <n v="200204010001"/>
    <s v="ليمون 122 مجمع سوما الطبي"/>
    <s v="Lemon 122 Soma Medical"/>
    <x v="13"/>
    <m/>
    <s v="Polyclinic"/>
    <n v="0"/>
    <s v="ABHA-KHAMIS"/>
    <d v="2022-04-26T00:00:00"/>
    <n v="183247.5165"/>
    <n v="266502.40860000002"/>
    <n v="742705.63155000005"/>
    <n v="2.7868627358814795"/>
  </r>
  <r>
    <n v="200201010904"/>
    <s v="ليمون 70 نبض الياسمين"/>
    <s v="Lemon 70 Nabd-Alyasmeen"/>
    <x v="4"/>
    <m/>
    <s v="Polyclinic"/>
    <n v="0"/>
    <s v="RIYADH"/>
    <d v="2022-11-30T00:00:00"/>
    <n v="322140.31"/>
    <n v="360910.55000000005"/>
    <n v="1005342.0035"/>
    <n v="2.7855711158900727"/>
  </r>
  <r>
    <n v="100202001010"/>
    <s v="صيدلية ليمون 10"/>
    <s v="LEMON-10"/>
    <x v="1"/>
    <m/>
    <s v="Street"/>
    <n v="0"/>
    <s v="RIYADH"/>
    <d v="2016-01-01T00:00:00"/>
    <n v="516396.17599999998"/>
    <n v="584525.87999999989"/>
    <n v="1613909.4306999999"/>
    <n v="2.7610572703812535"/>
  </r>
  <r>
    <n v="200204030032"/>
    <s v="ليمون 254 - الواديين خميس مشيط"/>
    <s v="Lemon 254 - Wadyeen Khamis Mesheat"/>
    <x v="7"/>
    <m/>
    <s v="Street"/>
    <n v="0"/>
    <s v="ABHA-KHAMIS"/>
    <d v="2024-10-31T00:00:00"/>
    <n v="182037.87579999998"/>
    <n v="355916.71150000003"/>
    <n v="967532.21649999998"/>
    <n v="2.7184231176512204"/>
  </r>
  <r>
    <n v="200201010948"/>
    <s v="ليمون - الوطن 2 الروابي"/>
    <s v="Lemon - Watan 2  Al Rwaby"/>
    <x v="12"/>
    <m/>
    <s v="Polyclinic"/>
    <n v="0"/>
    <s v="RIYADH"/>
    <d v="2024-11-22T00:00:00"/>
    <n v="741468.51099999994"/>
    <n v="653501.66999999993"/>
    <n v="1774812.7609999999"/>
    <n v="2.7158503833662739"/>
  </r>
  <r>
    <n v="200201010951"/>
    <s v="ليمون - عتيقة 1"/>
    <s v="Lemon - Utiaqah 1"/>
    <x v="11"/>
    <m/>
    <s v="Polyclinic"/>
    <s v="غبيره/الديار 1"/>
    <s v="RIYADH"/>
    <d v="2024-11-20T00:00:00"/>
    <n v="600348.08849999995"/>
    <n v="670206.25159999996"/>
    <n v="1814605.9565000001"/>
    <n v="2.7075336169544024"/>
  </r>
  <r>
    <n v="200201010961"/>
    <s v="ليمون 278 - الحياة النظيم"/>
    <s v="Lemon 278 - Hayat  Nazim"/>
    <x v="13"/>
    <m/>
    <s v="Polyclinic"/>
    <n v="0"/>
    <s v="RIYADH"/>
    <d v="2025-03-17T00:00:00"/>
    <n v="246262.15249999997"/>
    <n v="296212.07000000007"/>
    <n v="788454.02899999998"/>
    <n v="2.6617889979972786"/>
  </r>
  <r>
    <n v="200201010900"/>
    <s v="ليمون 112"/>
    <s v="Lemon 112"/>
    <x v="5"/>
    <m/>
    <s v="Street"/>
    <n v="0"/>
    <s v="RIYADH"/>
    <d v="2022-03-28T00:00:00"/>
    <n v="496875.15989999997"/>
    <n v="634065.12710000004"/>
    <n v="1686907.2625"/>
    <n v="2.6604637132708189"/>
  </r>
  <r>
    <n v="200201010950"/>
    <s v="ليمون - الوطن 4 الشفا"/>
    <s v="Lemon - Watan 4 Al Shifa"/>
    <x v="11"/>
    <m/>
    <s v="Polyclinic"/>
    <n v="0"/>
    <s v="RIYADH"/>
    <d v="2024-11-21T00:00:00"/>
    <n v="566436.69499999995"/>
    <n v="565454.81999999983"/>
    <n v="1466001.0225"/>
    <n v="2.5926050510985128"/>
  </r>
  <r>
    <n v="102002002001"/>
    <s v="ليمون مستوصف الموعد"/>
    <s v="Lemon Al Mawaeid"/>
    <x v="12"/>
    <m/>
    <s v="Polyclinic"/>
    <n v="0"/>
    <s v="RIYADH"/>
    <d v="2020-12-01T00:00:00"/>
    <n v="400808.67159999994"/>
    <n v="402045.88000000006"/>
    <n v="1029597.4595"/>
    <n v="2.5608954368590964"/>
  </r>
  <r>
    <n v="100202001003"/>
    <s v="صيدلية ليمون 03"/>
    <s v="LEMON-03"/>
    <x v="14"/>
    <m/>
    <s v="Street"/>
    <n v="0"/>
    <s v="RIYADH"/>
    <d v="2016-01-01T00:00:00"/>
    <n v="671704.52209999983"/>
    <n v="712461.5"/>
    <n v="1822276.1414999999"/>
    <n v="2.5577187560310275"/>
  </r>
  <r>
    <n v="200201010905"/>
    <s v="ليمون 133 القدس"/>
    <s v="Lemon 133 - Al Quds"/>
    <x v="1"/>
    <m/>
    <s v="Street"/>
    <n v="0"/>
    <s v="RIYADH"/>
    <d v="2023-03-07T00:00:00"/>
    <n v="387182.08990000002"/>
    <n v="479771.76000000007"/>
    <n v="1204589.2520000001"/>
    <n v="2.5107548055767182"/>
  </r>
  <r>
    <n v="100202001004"/>
    <s v="صيدلية ليمون 04"/>
    <s v="LEMON-04"/>
    <x v="5"/>
    <m/>
    <s v="Street"/>
    <n v="0"/>
    <s v="RIYADH"/>
    <d v="2016-01-01T00:00:00"/>
    <n v="762645.99529999995"/>
    <n v="860983.29720000003"/>
    <n v="2144560.1554999999"/>
    <n v="2.4908266658300042"/>
  </r>
  <r>
    <n v="200201010911"/>
    <s v="ليمون رقم 142 حي المؤنسية 2"/>
    <s v="Lemon-  No 142 Al-Monsia_02"/>
    <x v="1"/>
    <m/>
    <s v="Street"/>
    <n v="0"/>
    <s v="RIYADH"/>
    <d v="2023-02-13T00:00:00"/>
    <n v="325004.43629999988"/>
    <n v="485953.20309999998"/>
    <n v="1200612.2755"/>
    <n v="2.4706335256996685"/>
  </r>
  <r>
    <n v="100302001002"/>
    <s v="ليمون 60 الحزيمي 02"/>
    <s v="Lemon 60 -HOZAIMI-02"/>
    <x v="1"/>
    <m/>
    <s v="Street"/>
    <n v="0"/>
    <s v="RIYADH"/>
    <d v="2016-01-01T00:00:00"/>
    <n v="832646.38119999995"/>
    <n v="903494.30699999991"/>
    <n v="2225824.0214999998"/>
    <n v="2.463572824150623"/>
  </r>
  <r>
    <n v="200201010110"/>
    <s v="ليمون 119 ط عثمان"/>
    <s v="Lemon 119 Othman Bin Afan"/>
    <x v="14"/>
    <m/>
    <s v="Street"/>
    <n v="0"/>
    <s v="RIYADH"/>
    <d v="2022-06-06T00:00:00"/>
    <n v="571304.21300000011"/>
    <n v="658430.26749999996"/>
    <n v="1566440.925"/>
    <n v="2.3790536406347695"/>
  </r>
  <r>
    <n v="100202001017"/>
    <s v="صيدلية ليمون 17"/>
    <s v="LEMON-17"/>
    <x v="8"/>
    <m/>
    <s v="Street"/>
    <n v="0"/>
    <s v="RIYADH"/>
    <d v="2018-01-01T00:00:00"/>
    <n v="158062.84250000003"/>
    <n v="210641.26"/>
    <n v="497076.30200000003"/>
    <n v="2.3598240059900895"/>
  </r>
  <r>
    <n v="100202001028"/>
    <s v="صيدلية ليمون 28"/>
    <s v="LEMON-28"/>
    <x v="1"/>
    <m/>
    <s v="Street"/>
    <n v="0"/>
    <s v="RIYADH"/>
    <d v="2016-01-01T00:00:00"/>
    <n v="1053330.7531999999"/>
    <n v="1464294.9240000001"/>
    <n v="3409025.23"/>
    <n v="2.3281001484916706"/>
  </r>
  <r>
    <n v="200201010952"/>
    <s v="ليمون 264 - مطار الرياض 1"/>
    <s v="Lemon 264 - Riyadh Airport 1"/>
    <x v="8"/>
    <m/>
    <s v="Street"/>
    <n v="0"/>
    <s v="RIYADH"/>
    <d v="2026-12-11T00:00:00"/>
    <n v="376573.52190000005"/>
    <n v="526678.55000000005"/>
    <n v="1224663.6000000001"/>
    <n v="2.3252581674343866"/>
  </r>
  <r>
    <n v="200201010901"/>
    <s v="ليمون 121 لبن"/>
    <s v="Lemon 121 Laban"/>
    <x v="1"/>
    <m/>
    <s v="Street"/>
    <n v="0"/>
    <s v="RIYADH"/>
    <d v="2022-06-25T00:00:00"/>
    <n v="651994.73829999985"/>
    <n v="750861.82845000015"/>
    <n v="1740932.7385"/>
    <n v="2.3185793611240002"/>
  </r>
  <r>
    <n v="100302001001"/>
    <s v="ليمون 59 الحزيمي 01"/>
    <s v="Lemon 59 -HOZAIMI-01"/>
    <x v="8"/>
    <m/>
    <s v="Street"/>
    <n v="0"/>
    <s v="RIYADH"/>
    <d v="2016-01-01T00:00:00"/>
    <n v="586162.02850000013"/>
    <n v="696532.39199999999"/>
    <n v="1585213.8489999999"/>
    <n v="2.2758652249441975"/>
  </r>
  <r>
    <n v="100302001013"/>
    <s v="صيدلية ليمون 41"/>
    <s v="LEMON-41"/>
    <x v="1"/>
    <m/>
    <s v="Street"/>
    <n v="0"/>
    <s v="RIYADH"/>
    <d v="2016-01-01T00:00:00"/>
    <n v="469022.21569999994"/>
    <n v="665777.42960000003"/>
    <n v="1514672.6377399999"/>
    <n v="2.2750435361709651"/>
  </r>
  <r>
    <n v="102002004001"/>
    <s v="ليمون 109 مستوصف علاج الرياض"/>
    <s v="Lemon 109 Elag al Riyadh"/>
    <x v="11"/>
    <m/>
    <s v="Polyclinic"/>
    <n v="0"/>
    <s v="RIYADH"/>
    <d v="2021-02-01T00:00:00"/>
    <n v="908990.57299999974"/>
    <n v="991173.51599999995"/>
    <n v="2241988.0090000001"/>
    <n v="2.2619531018623387"/>
  </r>
  <r>
    <n v="102002006001"/>
    <s v="ليمون 106 مجمع هاو حي المروج"/>
    <s v="Lemon 106 -How Muruj Clinc"/>
    <x v="11"/>
    <m/>
    <s v="Polyclinic"/>
    <n v="0"/>
    <s v="RIYADH"/>
    <d v="2021-05-01T00:00:00"/>
    <n v="643520.98949999979"/>
    <n v="609743.0135"/>
    <n v="1370080.2590000001"/>
    <n v="2.2469798401388328"/>
  </r>
  <r>
    <n v="100602002001"/>
    <s v="ليمون الازهار"/>
    <s v="LEMON AL AZHAR"/>
    <x v="12"/>
    <m/>
    <s v="Polyclinic"/>
    <n v="0"/>
    <s v="RIYADH"/>
    <d v="2016-01-01T00:00:00"/>
    <n v="1463075.7072999999"/>
    <n v="1506779.8910000001"/>
    <n v="3376534.6047999999"/>
    <n v="2.2408943900619125"/>
  </r>
  <r>
    <n v="200201010947"/>
    <s v="ليمون - عتيقة 2"/>
    <s v="Lemon - Utiaqah 2"/>
    <x v="11"/>
    <m/>
    <s v="Polyclinic"/>
    <n v="0"/>
    <s v="RIYADH"/>
    <d v="2024-12-03T00:00:00"/>
    <n v="1131290.5974999997"/>
    <n v="1077992.1314999999"/>
    <n v="2401411.452"/>
    <n v="2.2276706682993077"/>
  </r>
  <r>
    <n v="200201010969"/>
    <s v="ليمون 276 - مطار الرياض 2"/>
    <s v="Lemon 276 - Riyadh Airport 2"/>
    <x v="8"/>
    <m/>
    <s v="Street"/>
    <n v="0"/>
    <s v="RIYADH"/>
    <d v="2026-01-01T00:00:00"/>
    <n v="422827.27300000004"/>
    <n v="610665.875"/>
    <n v="1299836.79"/>
    <n v="2.1285564548698583"/>
  </r>
  <r>
    <n v="200201010600"/>
    <s v="ليمون 108 مستوصف معا"/>
    <s v="Lemon 108 Maan Medical"/>
    <x v="4"/>
    <m/>
    <s v="Polyclinic"/>
    <n v="0"/>
    <s v="RIYADH"/>
    <d v="2021-11-15T00:00:00"/>
    <n v="344442.554"/>
    <n v="422246.72549999994"/>
    <n v="866080.13549999997"/>
    <n v="2.0511233911273994"/>
  </r>
  <r>
    <n v="200201010953"/>
    <s v="ليمون 280 - مجمع الحياة الفيحاء"/>
    <s v="Lemon 280 - Hayat Polyclinic Fayhaa"/>
    <x v="12"/>
    <m/>
    <s v="Polyclinic"/>
    <s v="هارون الرشيد"/>
    <s v="RIYADH"/>
    <d v="2024-12-23T00:00:00"/>
    <n v="1348025.1139999998"/>
    <n v="1367551.2099999995"/>
    <n v="2613146.9355000001"/>
    <n v="1.9108219980296028"/>
  </r>
  <r>
    <n v="200201010912"/>
    <s v="ليمون 137 ادراك الرياض"/>
    <s v="Lemon- 137  Edrak Riyadh"/>
    <x v="4"/>
    <m/>
    <s v="Polyclinic"/>
    <n v="0"/>
    <s v="RIYADH"/>
    <d v="2023-02-27T00:00:00"/>
    <n v="1035850.1657999997"/>
    <n v="1142432.8717499999"/>
    <n v="2075993.3313500001"/>
    <n v="1.8171687656097946"/>
  </r>
  <r>
    <n v="200201010945"/>
    <s v="ليمون شعاع 1 - الورود"/>
    <s v="Lemon Shoaa 1 - Al Wurud"/>
    <x v="12"/>
    <m/>
    <s v="Polyclinic"/>
    <n v="0"/>
    <s v="RIYADH"/>
    <d v="2024-11-18T00:00:00"/>
    <n v="2706951.3255000003"/>
    <n v="2543593.4035000005"/>
    <n v="4372701.1647500005"/>
    <n v="1.719103831112762"/>
  </r>
  <r>
    <n v="200205010900"/>
    <s v="ليمون 258 - سلامات 1"/>
    <s v="Lemon 258 - Salamat 1"/>
    <x v="12"/>
    <m/>
    <s v="Polyclinic"/>
    <n v="0"/>
    <s v="HAIL"/>
    <d v="2024-01-14T00:00:00"/>
    <n v="1420228.1311500003"/>
    <n v="1439477.74"/>
    <n v="2469352.7115000002"/>
    <n v="1.7154504323908477"/>
  </r>
  <r>
    <n v="100802001002"/>
    <s v="ليمون صحة 6"/>
    <s v="LEMON SEHA-06"/>
    <x v="5"/>
    <s v="MUSTAFA"/>
    <s v="Street"/>
    <n v="0"/>
    <s v="RIYADH"/>
    <d v="2018-02-01T00:00:00"/>
    <n v="162113.22229999999"/>
    <n v="42103.402499999997"/>
    <n v="35223.488499999999"/>
    <n v="0.83659482152303488"/>
  </r>
  <r>
    <n v="200201010971"/>
    <s v="ليمون 344 - مجمع الحياة مدن"/>
    <s v="Lemon 344 - Hayat PolyClinic MODON"/>
    <x v="11"/>
    <m/>
    <s v="Polyclinic"/>
    <n v="0"/>
    <s v="RIYADH"/>
    <d v="2026-01-11T00:00:00"/>
    <n v="0"/>
    <n v="0"/>
    <n v="234924.7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5108B-FD88-4D7F-9C8D-68AB73E2EC9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9" firstHeaderRow="1" firstDataRow="1" firstDataCol="1"/>
  <pivotFields count="13">
    <pivotField showAll="0"/>
    <pivotField showAll="0"/>
    <pivotField showAll="0"/>
    <pivotField axis="axisRow" showAll="0" sortType="ascending">
      <items count="16">
        <item x="0"/>
        <item x="5"/>
        <item x="8"/>
        <item x="14"/>
        <item x="11"/>
        <item x="6"/>
        <item x="1"/>
        <item x="2"/>
        <item x="9"/>
        <item x="13"/>
        <item x="12"/>
        <item x="3"/>
        <item x="7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numFmtId="3" showAll="0"/>
    <pivotField numFmtId="3" showAll="0"/>
    <pivotField dataField="1" numFmtId="2" showAll="0"/>
  </pivotFields>
  <rowFields count="1">
    <field x="3"/>
  </rowFields>
  <rowItems count="16">
    <i>
      <x v="4"/>
    </i>
    <i>
      <x v="3"/>
    </i>
    <i>
      <x v="10"/>
    </i>
    <i>
      <x v="9"/>
    </i>
    <i>
      <x v="6"/>
    </i>
    <i>
      <x v="1"/>
    </i>
    <i>
      <x v="2"/>
    </i>
    <i>
      <x v="13"/>
    </i>
    <i>
      <x v="8"/>
    </i>
    <i>
      <x v="14"/>
    </i>
    <i>
      <x v="5"/>
    </i>
    <i>
      <x v="12"/>
    </i>
    <i>
      <x v="7"/>
    </i>
    <i>
      <x v="11"/>
    </i>
    <i>
      <x/>
    </i>
    <i t="grand">
      <x/>
    </i>
  </rowItems>
  <colItems count="1">
    <i/>
  </colItems>
  <dataFields count="1">
    <dataField name="Average of %" fld="12" subtotal="average" baseField="3" baseItem="13"/>
  </dataFields>
  <formats count="5"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53AE2-14FA-4D69-9D13-882F18AF4764}" name="Table1" displayName="Table1" ref="A1:P381" totalsRowShown="0" headerRowDxfId="24" dataDxfId="23">
  <autoFilter ref="A1:P381" xr:uid="{21B53AE2-14FA-4D69-9D13-882F18AF4764}"/>
  <sortState xmlns:xlrd2="http://schemas.microsoft.com/office/spreadsheetml/2017/richdata2" ref="A2:P381">
    <sortCondition descending="1" ref="O1:O381"/>
  </sortState>
  <tableColumns count="16">
    <tableColumn id="1" xr3:uid="{910ACEEE-3C42-4078-BB04-6AFF9FE95FD5}" name="Store Code" dataDxfId="22"/>
    <tableColumn id="2" xr3:uid="{F5E977B1-2356-4953-A41C-261C33941B0D}" name="ST_NAME" dataDxfId="21"/>
    <tableColumn id="3" xr3:uid="{5769DE85-7A55-4EE1-AD3A-AF4C289C8CBA}" name="EN" dataDxfId="20"/>
    <tableColumn id="16" xr3:uid="{89D42EB6-459D-443E-A546-3925BE3B76F7}" name="Courier" dataDxfId="19"/>
    <tableColumn id="4" xr3:uid="{2211413B-ED78-43D5-8864-9981652C4642}" name="Supervisor" dataDxfId="18"/>
    <tableColumn id="5" xr3:uid="{B9A3A4EA-B976-4B76-AD6C-38C379DEEB70}" name="Turnaround" dataDxfId="17"/>
    <tableColumn id="7" xr3:uid="{46107E6F-56E2-4847-8C62-84BCD3C913E2}" name="Category" dataDxfId="16"/>
    <tableColumn id="8" xr3:uid="{9004010A-C1B1-4724-9892-6E540325EFF2}" name="note" dataDxfId="15"/>
    <tableColumn id="9" xr3:uid="{84E91FB7-BED4-4250-9AE7-B272DF627C4E}" name="REGION" dataDxfId="14"/>
    <tableColumn id="10" xr3:uid="{8E09F37A-A75F-4BF2-98D2-BC2B5E220858}" name="OPENING" dataDxfId="13"/>
    <tableColumn id="6" xr3:uid="{C957916E-C804-4EE1-BC00-C73BF2B07AE6}" name="26-Jun" dataDxfId="12"/>
    <tableColumn id="13" xr3:uid="{505246E4-FDAA-485F-84C3-638842F88A0E}" name="27-Jul" dataDxfId="11" dataCellStyle="Comma"/>
    <tableColumn id="14" xr3:uid="{78C51A3B-D20C-4D1E-A0FC-A2D5BCAC6731}" name="26-Aug" dataDxfId="10" dataCellStyle="Comma"/>
    <tableColumn id="11" xr3:uid="{013DAD8E-4DBD-42E5-99E9-3AA9B92D7083}" name="30-7 stock lvl" dataDxfId="9"/>
    <tableColumn id="12" xr3:uid="{B156549A-9D77-442D-82A9-2777E784E6F6}" name="%" dataDxfId="8" dataCellStyle="Percent">
      <calculatedColumnFormula>IFERROR(Table1[[#This Row],[30-7 stock lvl]]/Table1[[#This Row],[26-Aug]],0)</calculatedColumnFormula>
    </tableColumn>
    <tableColumn id="15" xr3:uid="{CE267991-C028-4305-9632-F5B40A779D9D}" name="Lemon Online" dataDxfId="7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C676-F383-4CFC-B303-19A65FF03638}">
  <dimension ref="A3:B19"/>
  <sheetViews>
    <sheetView workbookViewId="0">
      <selection activeCell="B17" sqref="B17"/>
    </sheetView>
  </sheetViews>
  <sheetFormatPr defaultRowHeight="15" x14ac:dyDescent="0.25"/>
  <cols>
    <col min="1" max="1" width="14.42578125" bestFit="1" customWidth="1"/>
    <col min="2" max="2" width="12.5703125" style="27" bestFit="1" customWidth="1"/>
  </cols>
  <sheetData>
    <row r="3" spans="1:2" x14ac:dyDescent="0.25">
      <c r="A3" s="25" t="s">
        <v>805</v>
      </c>
      <c r="B3" s="27" t="s">
        <v>807</v>
      </c>
    </row>
    <row r="4" spans="1:2" x14ac:dyDescent="0.25">
      <c r="A4" s="26" t="s">
        <v>150</v>
      </c>
      <c r="B4" s="27">
        <v>3.8300913748492214</v>
      </c>
    </row>
    <row r="5" spans="1:2" x14ac:dyDescent="0.25">
      <c r="A5" s="26" t="s">
        <v>10</v>
      </c>
      <c r="B5" s="27">
        <v>3.8620805533019884</v>
      </c>
    </row>
    <row r="6" spans="1:2" x14ac:dyDescent="0.25">
      <c r="A6" s="26" t="s">
        <v>128</v>
      </c>
      <c r="B6" s="27">
        <v>3.9214099269750915</v>
      </c>
    </row>
    <row r="7" spans="1:2" x14ac:dyDescent="0.25">
      <c r="A7" s="26" t="s">
        <v>186</v>
      </c>
      <c r="B7" s="27">
        <v>4.0882900095789338</v>
      </c>
    </row>
    <row r="8" spans="1:2" x14ac:dyDescent="0.25">
      <c r="A8" s="26" t="s">
        <v>6</v>
      </c>
      <c r="B8" s="27">
        <v>4.114150456809023</v>
      </c>
    </row>
    <row r="9" spans="1:2" x14ac:dyDescent="0.25">
      <c r="A9" s="26" t="s">
        <v>13</v>
      </c>
      <c r="B9" s="27">
        <v>4.4725613090283289</v>
      </c>
    </row>
    <row r="10" spans="1:2" x14ac:dyDescent="0.25">
      <c r="A10" s="26" t="s">
        <v>28</v>
      </c>
      <c r="B10" s="27">
        <v>5.2466661794686775</v>
      </c>
    </row>
    <row r="11" spans="1:2" x14ac:dyDescent="0.25">
      <c r="A11" s="26" t="s">
        <v>79</v>
      </c>
      <c r="B11" s="27">
        <v>5.5119252791594464</v>
      </c>
    </row>
    <row r="12" spans="1:2" x14ac:dyDescent="0.25">
      <c r="A12" s="26" t="s">
        <v>158</v>
      </c>
      <c r="B12" s="27">
        <v>5.5589223539199502</v>
      </c>
    </row>
    <row r="13" spans="1:2" x14ac:dyDescent="0.25">
      <c r="A13" s="26" t="s">
        <v>210</v>
      </c>
      <c r="B13" s="27">
        <v>5.6175037159127195</v>
      </c>
    </row>
    <row r="14" spans="1:2" x14ac:dyDescent="0.25">
      <c r="A14" s="26" t="s">
        <v>83</v>
      </c>
      <c r="B14" s="27">
        <v>5.8505188277896494</v>
      </c>
    </row>
    <row r="15" spans="1:2" x14ac:dyDescent="0.25">
      <c r="A15" s="26" t="s">
        <v>491</v>
      </c>
      <c r="B15" s="27">
        <v>5.8592147434950173</v>
      </c>
    </row>
    <row r="16" spans="1:2" x14ac:dyDescent="0.25">
      <c r="A16" s="26" t="s">
        <v>245</v>
      </c>
      <c r="B16" s="27">
        <v>6.423813035566055</v>
      </c>
    </row>
    <row r="17" spans="1:2" x14ac:dyDescent="0.25">
      <c r="A17" s="26" t="s">
        <v>511</v>
      </c>
      <c r="B17" s="27">
        <v>7.361234925088973</v>
      </c>
    </row>
    <row r="18" spans="1:2" x14ac:dyDescent="0.25">
      <c r="A18" s="26" t="s">
        <v>389</v>
      </c>
      <c r="B18" s="27">
        <v>8.1833578086117651</v>
      </c>
    </row>
    <row r="19" spans="1:2" x14ac:dyDescent="0.25">
      <c r="A19" s="26" t="s">
        <v>806</v>
      </c>
      <c r="B19" s="27">
        <v>5.5078068422253539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FD01-C60A-498B-85BC-B97FD15042BA}">
  <sheetPr codeName="Sheet1"/>
  <dimension ref="A1:P381"/>
  <sheetViews>
    <sheetView tabSelected="1" zoomScaleNormal="100" workbookViewId="0">
      <selection activeCell="D12" sqref="D12"/>
    </sheetView>
  </sheetViews>
  <sheetFormatPr defaultRowHeight="15" x14ac:dyDescent="0.25"/>
  <cols>
    <col min="1" max="1" width="19.85546875" style="2" customWidth="1"/>
    <col min="2" max="2" width="33.140625" style="10" customWidth="1"/>
    <col min="3" max="4" width="43.28515625" style="6" customWidth="1"/>
    <col min="5" max="5" width="18.5703125" style="21" customWidth="1"/>
    <col min="6" max="6" width="15.85546875" style="1" bestFit="1" customWidth="1"/>
    <col min="7" max="7" width="20" style="1" customWidth="1"/>
    <col min="8" max="8" width="4.140625" style="1" customWidth="1"/>
    <col min="9" max="9" width="18.5703125" style="1" bestFit="1" customWidth="1"/>
    <col min="10" max="10" width="14.42578125" style="24" bestFit="1" customWidth="1"/>
    <col min="11" max="11" width="11.85546875" style="28" bestFit="1" customWidth="1"/>
    <col min="12" max="13" width="11.85546875" style="28" customWidth="1"/>
    <col min="14" max="14" width="16.85546875" bestFit="1" customWidth="1"/>
    <col min="16" max="16" width="18.140625" bestFit="1" customWidth="1"/>
  </cols>
  <sheetData>
    <row r="1" spans="1:16" x14ac:dyDescent="0.25">
      <c r="A1" s="3" t="s">
        <v>0</v>
      </c>
      <c r="B1" t="s">
        <v>821</v>
      </c>
      <c r="C1" s="5" t="s">
        <v>795</v>
      </c>
      <c r="D1" s="5" t="s">
        <v>826</v>
      </c>
      <c r="E1" s="20" t="s">
        <v>1</v>
      </c>
      <c r="F1" s="4" t="s">
        <v>3</v>
      </c>
      <c r="G1" s="4" t="s">
        <v>2</v>
      </c>
      <c r="H1" s="4" t="s">
        <v>672</v>
      </c>
      <c r="I1" s="4" t="s">
        <v>781</v>
      </c>
      <c r="J1" s="23" t="s">
        <v>793</v>
      </c>
      <c r="K1" s="15" t="s">
        <v>801</v>
      </c>
      <c r="L1" s="15" t="s">
        <v>804</v>
      </c>
      <c r="M1" s="15" t="s">
        <v>808</v>
      </c>
      <c r="N1" s="4" t="s">
        <v>802</v>
      </c>
      <c r="O1" s="4" t="s">
        <v>803</v>
      </c>
      <c r="P1" s="4" t="s">
        <v>822</v>
      </c>
    </row>
    <row r="2" spans="1:16" x14ac:dyDescent="0.25">
      <c r="A2" s="2">
        <v>200202001035</v>
      </c>
      <c r="B2" s="10" t="s">
        <v>437</v>
      </c>
      <c r="C2" s="6" t="s">
        <v>718</v>
      </c>
      <c r="E2" s="21" t="s">
        <v>389</v>
      </c>
      <c r="G2" s="1" t="s">
        <v>7</v>
      </c>
      <c r="H2" s="1">
        <v>0</v>
      </c>
      <c r="I2" s="1" t="s">
        <v>765</v>
      </c>
      <c r="J2" s="24">
        <v>45942</v>
      </c>
      <c r="K2" s="16">
        <v>11917.263499999997</v>
      </c>
      <c r="L2" s="19">
        <v>14591.2</v>
      </c>
      <c r="M2" s="19">
        <v>12376.104499999999</v>
      </c>
      <c r="N2" s="17">
        <v>422165.41</v>
      </c>
      <c r="O2" s="18">
        <f>IFERROR(Table1[[#This Row],[30-7 stock lvl]]/Table1[[#This Row],[26-Aug]],0)</f>
        <v>34.111332043131988</v>
      </c>
      <c r="P2" s="1" t="s">
        <v>823</v>
      </c>
    </row>
    <row r="3" spans="1:16" x14ac:dyDescent="0.25">
      <c r="A3" s="2">
        <v>200201010936</v>
      </c>
      <c r="B3" s="10" t="s">
        <v>276</v>
      </c>
      <c r="C3" s="6" t="s">
        <v>277</v>
      </c>
      <c r="E3" s="21" t="s">
        <v>6</v>
      </c>
      <c r="F3" s="1" t="s">
        <v>29</v>
      </c>
      <c r="G3" s="1" t="s">
        <v>7</v>
      </c>
      <c r="H3" s="1">
        <v>0</v>
      </c>
      <c r="I3" s="1" t="s">
        <v>782</v>
      </c>
      <c r="J3" s="24">
        <v>45378</v>
      </c>
      <c r="K3" s="16">
        <v>41902.395599999996</v>
      </c>
      <c r="L3" s="19">
        <v>26166.129999999994</v>
      </c>
      <c r="M3" s="19">
        <v>16956.953600000001</v>
      </c>
      <c r="N3" s="17">
        <v>449601.09499999997</v>
      </c>
      <c r="O3" s="18">
        <f>IFERROR(Table1[[#This Row],[30-7 stock lvl]]/Table1[[#This Row],[26-Aug]],0)</f>
        <v>26.51426108755761</v>
      </c>
      <c r="P3" s="1" t="s">
        <v>823</v>
      </c>
    </row>
    <row r="4" spans="1:16" x14ac:dyDescent="0.25">
      <c r="A4" s="2">
        <v>200202001032</v>
      </c>
      <c r="B4" s="10" t="s">
        <v>715</v>
      </c>
      <c r="C4" s="6" t="s">
        <v>714</v>
      </c>
      <c r="E4" s="21" t="s">
        <v>389</v>
      </c>
      <c r="G4" s="1" t="s">
        <v>7</v>
      </c>
      <c r="H4" s="1">
        <v>0</v>
      </c>
      <c r="I4" s="1" t="s">
        <v>765</v>
      </c>
      <c r="J4" s="24">
        <v>46023</v>
      </c>
      <c r="K4" s="16">
        <v>33054.535699999993</v>
      </c>
      <c r="L4" s="19">
        <v>40544.82</v>
      </c>
      <c r="M4" s="19">
        <v>31239.972399999999</v>
      </c>
      <c r="N4" s="17">
        <v>578450.99750000006</v>
      </c>
      <c r="O4" s="18">
        <f>IFERROR(Table1[[#This Row],[30-7 stock lvl]]/Table1[[#This Row],[26-Aug]],0)</f>
        <v>18.516373513185307</v>
      </c>
      <c r="P4" s="1" t="s">
        <v>823</v>
      </c>
    </row>
    <row r="5" spans="1:16" x14ac:dyDescent="0.25">
      <c r="A5" s="2">
        <v>200203010806</v>
      </c>
      <c r="B5" s="10" t="s">
        <v>464</v>
      </c>
      <c r="C5" s="6" t="s">
        <v>465</v>
      </c>
      <c r="E5" s="21" t="s">
        <v>83</v>
      </c>
      <c r="F5" s="1" t="s">
        <v>29</v>
      </c>
      <c r="G5" s="1" t="s">
        <v>7</v>
      </c>
      <c r="H5" s="1">
        <v>0</v>
      </c>
      <c r="I5" s="1" t="s">
        <v>767</v>
      </c>
      <c r="J5" s="24">
        <v>45434</v>
      </c>
      <c r="K5" s="16">
        <v>44826.457999999999</v>
      </c>
      <c r="L5" s="19">
        <v>38298.540000000008</v>
      </c>
      <c r="M5" s="19">
        <v>23243.1198</v>
      </c>
      <c r="N5" s="17">
        <v>421368.17749999999</v>
      </c>
      <c r="O5" s="18">
        <f>IFERROR(Table1[[#This Row],[30-7 stock lvl]]/Table1[[#This Row],[26-Aug]],0)</f>
        <v>18.128727172847078</v>
      </c>
      <c r="P5" s="1" t="s">
        <v>823</v>
      </c>
    </row>
    <row r="6" spans="1:16" x14ac:dyDescent="0.25">
      <c r="A6" s="2">
        <v>200202001038</v>
      </c>
      <c r="B6" s="10" t="s">
        <v>440</v>
      </c>
      <c r="C6" s="6" t="s">
        <v>719</v>
      </c>
      <c r="E6" s="21" t="s">
        <v>389</v>
      </c>
      <c r="G6" s="1" t="s">
        <v>7</v>
      </c>
      <c r="H6" s="1">
        <v>0</v>
      </c>
      <c r="I6" s="1" t="s">
        <v>787</v>
      </c>
      <c r="J6" s="24">
        <v>46062</v>
      </c>
      <c r="K6" s="16">
        <v>17698.146999999997</v>
      </c>
      <c r="L6" s="19">
        <v>34951.122699999993</v>
      </c>
      <c r="M6" s="19">
        <v>39644.608</v>
      </c>
      <c r="N6" s="17">
        <v>625504.29</v>
      </c>
      <c r="O6" s="18">
        <f>IFERROR(Table1[[#This Row],[30-7 stock lvl]]/Table1[[#This Row],[26-Aug]],0)</f>
        <v>15.777789756427911</v>
      </c>
      <c r="P6" s="1" t="s">
        <v>823</v>
      </c>
    </row>
    <row r="7" spans="1:16" x14ac:dyDescent="0.25">
      <c r="A7" s="2">
        <v>200204030008</v>
      </c>
      <c r="B7" s="10" t="s">
        <v>524</v>
      </c>
      <c r="C7" s="6" t="s">
        <v>525</v>
      </c>
      <c r="E7" s="21" t="s">
        <v>511</v>
      </c>
      <c r="G7" s="1" t="s">
        <v>7</v>
      </c>
      <c r="H7" s="1">
        <v>0</v>
      </c>
      <c r="I7" s="1" t="s">
        <v>783</v>
      </c>
      <c r="J7" s="24">
        <v>44531</v>
      </c>
      <c r="K7" s="16">
        <v>35728.496100000004</v>
      </c>
      <c r="L7" s="19">
        <v>36606.020000000004</v>
      </c>
      <c r="M7" s="19">
        <v>38758.535100000001</v>
      </c>
      <c r="N7" s="17">
        <v>589190.76100000006</v>
      </c>
      <c r="O7" s="18">
        <f>IFERROR(Table1[[#This Row],[30-7 stock lvl]]/Table1[[#This Row],[26-Aug]],0)</f>
        <v>15.201574555896981</v>
      </c>
      <c r="P7" s="1" t="s">
        <v>823</v>
      </c>
    </row>
    <row r="8" spans="1:16" x14ac:dyDescent="0.25">
      <c r="A8" s="2">
        <v>200202001033</v>
      </c>
      <c r="B8" s="10" t="s">
        <v>435</v>
      </c>
      <c r="C8" s="6" t="s">
        <v>716</v>
      </c>
      <c r="E8" s="21" t="s">
        <v>389</v>
      </c>
      <c r="G8" s="1" t="s">
        <v>7</v>
      </c>
      <c r="H8" s="1">
        <v>0</v>
      </c>
      <c r="I8" s="1" t="s">
        <v>765</v>
      </c>
      <c r="J8" s="24">
        <v>45935</v>
      </c>
      <c r="K8" s="16">
        <v>36538.523599999993</v>
      </c>
      <c r="L8" s="19">
        <v>40630.150000000009</v>
      </c>
      <c r="M8" s="19">
        <v>38083.405299999999</v>
      </c>
      <c r="N8" s="17">
        <v>562541.59250000003</v>
      </c>
      <c r="O8" s="18">
        <f>IFERROR(Table1[[#This Row],[30-7 stock lvl]]/Table1[[#This Row],[26-Aug]],0)</f>
        <v>14.771304931074534</v>
      </c>
      <c r="P8" s="1" t="s">
        <v>823</v>
      </c>
    </row>
    <row r="9" spans="1:16" x14ac:dyDescent="0.25">
      <c r="A9" s="2">
        <v>200202001034</v>
      </c>
      <c r="B9" s="10" t="s">
        <v>436</v>
      </c>
      <c r="C9" s="6" t="s">
        <v>717</v>
      </c>
      <c r="E9" s="21" t="s">
        <v>389</v>
      </c>
      <c r="G9" s="1" t="s">
        <v>7</v>
      </c>
      <c r="H9" s="1">
        <v>0</v>
      </c>
      <c r="I9" s="1" t="s">
        <v>765</v>
      </c>
      <c r="J9" s="24">
        <v>45938</v>
      </c>
      <c r="K9" s="16">
        <v>41213.161399999997</v>
      </c>
      <c r="L9" s="19">
        <v>33563.69</v>
      </c>
      <c r="M9" s="19">
        <v>39971.8727</v>
      </c>
      <c r="N9" s="17">
        <v>566585.96849999996</v>
      </c>
      <c r="O9" s="18">
        <f>IFERROR(Table1[[#This Row],[30-7 stock lvl]]/Table1[[#This Row],[26-Aug]],0)</f>
        <v>14.174616554805549</v>
      </c>
      <c r="P9" s="1" t="s">
        <v>823</v>
      </c>
    </row>
    <row r="10" spans="1:16" x14ac:dyDescent="0.25">
      <c r="A10" s="2">
        <v>200205010917</v>
      </c>
      <c r="B10" s="10" t="s">
        <v>656</v>
      </c>
      <c r="C10" s="6" t="s">
        <v>657</v>
      </c>
      <c r="E10" s="21" t="s">
        <v>245</v>
      </c>
      <c r="G10" s="1" t="s">
        <v>7</v>
      </c>
      <c r="H10" s="1">
        <v>0</v>
      </c>
      <c r="I10" s="1" t="s">
        <v>764</v>
      </c>
      <c r="J10" s="24">
        <v>45918</v>
      </c>
      <c r="K10" s="16">
        <v>52550.203900000008</v>
      </c>
      <c r="L10" s="19">
        <v>39166.862499999996</v>
      </c>
      <c r="M10" s="19">
        <v>47068.673600000002</v>
      </c>
      <c r="N10" s="17">
        <v>651814.41</v>
      </c>
      <c r="O10" s="18">
        <f>IFERROR(Table1[[#This Row],[30-7 stock lvl]]/Table1[[#This Row],[26-Aug]],0)</f>
        <v>13.848157599240272</v>
      </c>
      <c r="P10" s="1" t="s">
        <v>823</v>
      </c>
    </row>
    <row r="11" spans="1:16" x14ac:dyDescent="0.25">
      <c r="A11" s="2">
        <v>200202001026</v>
      </c>
      <c r="B11" s="10" t="s">
        <v>426</v>
      </c>
      <c r="C11" s="6" t="s">
        <v>427</v>
      </c>
      <c r="E11" s="21" t="s">
        <v>389</v>
      </c>
      <c r="G11" s="1" t="s">
        <v>7</v>
      </c>
      <c r="H11" s="1">
        <v>0</v>
      </c>
      <c r="I11" s="1" t="s">
        <v>765</v>
      </c>
      <c r="J11" s="24">
        <v>45568</v>
      </c>
      <c r="K11" s="16">
        <v>51071.993699999992</v>
      </c>
      <c r="L11" s="19">
        <v>50828.390000000007</v>
      </c>
      <c r="M11" s="19">
        <v>42896.014199999998</v>
      </c>
      <c r="N11" s="17">
        <v>564318.73250000004</v>
      </c>
      <c r="O11" s="18">
        <f>IFERROR(Table1[[#This Row],[30-7 stock lvl]]/Table1[[#This Row],[26-Aug]],0)</f>
        <v>13.155505074874768</v>
      </c>
      <c r="P11" s="1" t="s">
        <v>823</v>
      </c>
    </row>
    <row r="12" spans="1:16" x14ac:dyDescent="0.25">
      <c r="A12" s="2">
        <v>101202001012</v>
      </c>
      <c r="B12" s="10" t="s">
        <v>179</v>
      </c>
      <c r="C12" s="6" t="s">
        <v>180</v>
      </c>
      <c r="E12" s="21" t="s">
        <v>158</v>
      </c>
      <c r="F12" s="1" t="s">
        <v>29</v>
      </c>
      <c r="G12" s="1" t="s">
        <v>7</v>
      </c>
      <c r="H12" s="1">
        <v>0</v>
      </c>
      <c r="I12" s="1" t="s">
        <v>763</v>
      </c>
      <c r="J12" s="24">
        <v>45723</v>
      </c>
      <c r="K12" s="16">
        <v>55993.123700000018</v>
      </c>
      <c r="L12" s="19">
        <v>51970.617499999993</v>
      </c>
      <c r="M12" s="19">
        <v>42669.796799999996</v>
      </c>
      <c r="N12" s="17">
        <v>552310.49349999998</v>
      </c>
      <c r="O12" s="18">
        <f>IFERROR(Table1[[#This Row],[30-7 stock lvl]]/Table1[[#This Row],[26-Aug]],0)</f>
        <v>12.943827599853956</v>
      </c>
      <c r="P12" s="1" t="s">
        <v>823</v>
      </c>
    </row>
    <row r="13" spans="1:16" x14ac:dyDescent="0.25">
      <c r="A13" s="2">
        <v>200201010938</v>
      </c>
      <c r="B13" s="10" t="s">
        <v>280</v>
      </c>
      <c r="C13" s="6" t="s">
        <v>281</v>
      </c>
      <c r="E13" s="21" t="s">
        <v>13</v>
      </c>
      <c r="F13" s="1" t="s">
        <v>29</v>
      </c>
      <c r="G13" s="1" t="s">
        <v>7</v>
      </c>
      <c r="H13" s="1">
        <v>0</v>
      </c>
      <c r="I13" s="1" t="s">
        <v>782</v>
      </c>
      <c r="J13" s="24">
        <v>45418</v>
      </c>
      <c r="K13" s="16">
        <v>36445.268000000004</v>
      </c>
      <c r="L13" s="19">
        <v>34333.170000000006</v>
      </c>
      <c r="M13" s="19">
        <v>33941.729899999998</v>
      </c>
      <c r="N13" s="17">
        <v>419027.28749999998</v>
      </c>
      <c r="O13" s="18">
        <f>IFERROR(Table1[[#This Row],[30-7 stock lvl]]/Table1[[#This Row],[26-Aug]],0)</f>
        <v>12.345490012870558</v>
      </c>
      <c r="P13" s="1" t="s">
        <v>823</v>
      </c>
    </row>
    <row r="14" spans="1:16" x14ac:dyDescent="0.25">
      <c r="A14" s="2">
        <v>200203010817</v>
      </c>
      <c r="B14" s="12" t="s">
        <v>482</v>
      </c>
      <c r="C14" s="6" t="s">
        <v>674</v>
      </c>
      <c r="E14" s="21" t="s">
        <v>83</v>
      </c>
      <c r="G14" s="1" t="s">
        <v>7</v>
      </c>
      <c r="H14" s="1">
        <v>0</v>
      </c>
      <c r="I14" s="1" t="s">
        <v>767</v>
      </c>
      <c r="J14" s="24">
        <v>46109</v>
      </c>
      <c r="K14" s="16">
        <v>53779.57</v>
      </c>
      <c r="L14" s="19">
        <v>60230.655000000006</v>
      </c>
      <c r="M14" s="19">
        <v>59484.142500000002</v>
      </c>
      <c r="N14" s="17">
        <v>733108.46750000003</v>
      </c>
      <c r="O14" s="18">
        <f>IFERROR(Table1[[#This Row],[30-7 stock lvl]]/Table1[[#This Row],[26-Aug]],0)</f>
        <v>12.324435331651625</v>
      </c>
      <c r="P14" s="1" t="s">
        <v>823</v>
      </c>
    </row>
    <row r="15" spans="1:16" x14ac:dyDescent="0.25">
      <c r="A15" s="2">
        <v>200204030006</v>
      </c>
      <c r="B15" s="10" t="s">
        <v>520</v>
      </c>
      <c r="C15" s="6" t="s">
        <v>521</v>
      </c>
      <c r="E15" s="21" t="s">
        <v>511</v>
      </c>
      <c r="G15" s="1" t="s">
        <v>7</v>
      </c>
      <c r="H15" s="1">
        <v>0</v>
      </c>
      <c r="I15" s="1" t="s">
        <v>783</v>
      </c>
      <c r="J15" s="24">
        <v>44501</v>
      </c>
      <c r="K15" s="16">
        <v>49943.272499999999</v>
      </c>
      <c r="L15" s="19">
        <v>59206.569999999992</v>
      </c>
      <c r="M15" s="19">
        <v>60286.433700000001</v>
      </c>
      <c r="N15" s="17">
        <v>729145.94</v>
      </c>
      <c r="O15" s="18">
        <f>IFERROR(Table1[[#This Row],[30-7 stock lvl]]/Table1[[#This Row],[26-Aug]],0)</f>
        <v>12.094693536333697</v>
      </c>
      <c r="P15" s="1" t="s">
        <v>823</v>
      </c>
    </row>
    <row r="16" spans="1:16" x14ac:dyDescent="0.25">
      <c r="A16" s="2">
        <v>200204030046</v>
      </c>
      <c r="B16" s="10" t="s">
        <v>590</v>
      </c>
      <c r="C16" s="6" t="s">
        <v>591</v>
      </c>
      <c r="E16" s="21" t="s">
        <v>511</v>
      </c>
      <c r="G16" s="1" t="s">
        <v>7</v>
      </c>
      <c r="H16" s="1">
        <v>0</v>
      </c>
      <c r="I16" s="1" t="s">
        <v>783</v>
      </c>
      <c r="J16" s="24">
        <v>45858</v>
      </c>
      <c r="K16" s="16">
        <v>73402.485800000009</v>
      </c>
      <c r="L16" s="19">
        <v>80134.021500000017</v>
      </c>
      <c r="M16" s="19">
        <v>64127.219299999997</v>
      </c>
      <c r="N16" s="17">
        <v>730362.95849999995</v>
      </c>
      <c r="O16" s="18">
        <f>IFERROR(Table1[[#This Row],[30-7 stock lvl]]/Table1[[#This Row],[26-Aug]],0)</f>
        <v>11.389281594812578</v>
      </c>
      <c r="P16" s="1" t="s">
        <v>823</v>
      </c>
    </row>
    <row r="17" spans="1:16" x14ac:dyDescent="0.25">
      <c r="A17" s="2">
        <v>100202001030</v>
      </c>
      <c r="B17" s="10" t="s">
        <v>58</v>
      </c>
      <c r="C17" s="6" t="s">
        <v>59</v>
      </c>
      <c r="D17" s="6" t="s">
        <v>827</v>
      </c>
      <c r="E17" s="21" t="s">
        <v>28</v>
      </c>
      <c r="F17" s="1" t="s">
        <v>29</v>
      </c>
      <c r="G17" s="1" t="s">
        <v>7</v>
      </c>
      <c r="H17" s="1">
        <v>0</v>
      </c>
      <c r="I17" s="1" t="s">
        <v>782</v>
      </c>
      <c r="J17" s="24">
        <v>45507</v>
      </c>
      <c r="K17" s="16">
        <v>19718.010000000002</v>
      </c>
      <c r="L17" s="19">
        <v>24476.120000000006</v>
      </c>
      <c r="M17" s="19">
        <v>20665.240000000002</v>
      </c>
      <c r="N17" s="17">
        <v>224794.929</v>
      </c>
      <c r="O17" s="18">
        <f>IFERROR(Table1[[#This Row],[30-7 stock lvl]]/Table1[[#This Row],[26-Aug]],0)</f>
        <v>10.87792491159067</v>
      </c>
      <c r="P17" s="1" t="s">
        <v>823</v>
      </c>
    </row>
    <row r="18" spans="1:16" x14ac:dyDescent="0.25">
      <c r="A18" s="2">
        <v>101202001020</v>
      </c>
      <c r="B18" s="10" t="s">
        <v>183</v>
      </c>
      <c r="C18" s="6" t="s">
        <v>688</v>
      </c>
      <c r="E18" s="21" t="s">
        <v>158</v>
      </c>
      <c r="G18" s="1" t="s">
        <v>7</v>
      </c>
      <c r="H18" s="1">
        <v>0</v>
      </c>
      <c r="I18" s="1" t="s">
        <v>763</v>
      </c>
      <c r="J18" s="24">
        <v>46061</v>
      </c>
      <c r="K18" s="16">
        <v>38311.155200000001</v>
      </c>
      <c r="L18" s="19">
        <v>73653.060000000012</v>
      </c>
      <c r="M18" s="19">
        <v>64703.109799999998</v>
      </c>
      <c r="N18" s="17">
        <v>687212.10750000004</v>
      </c>
      <c r="O18" s="18">
        <f>IFERROR(Table1[[#This Row],[30-7 stock lvl]]/Table1[[#This Row],[26-Aug]],0)</f>
        <v>10.621005846924533</v>
      </c>
      <c r="P18" s="1" t="s">
        <v>823</v>
      </c>
    </row>
    <row r="19" spans="1:16" x14ac:dyDescent="0.25">
      <c r="A19" s="2">
        <v>200202001030</v>
      </c>
      <c r="B19" s="10" t="s">
        <v>431</v>
      </c>
      <c r="C19" s="6" t="s">
        <v>432</v>
      </c>
      <c r="E19" s="21" t="s">
        <v>389</v>
      </c>
      <c r="G19" s="1" t="s">
        <v>7</v>
      </c>
      <c r="H19" s="1">
        <v>0</v>
      </c>
      <c r="I19" s="1" t="s">
        <v>765</v>
      </c>
      <c r="J19" s="24">
        <v>45859</v>
      </c>
      <c r="K19" s="16">
        <v>56679.629700000012</v>
      </c>
      <c r="L19" s="19">
        <v>64265.458699999996</v>
      </c>
      <c r="M19" s="19">
        <v>57110.7952</v>
      </c>
      <c r="N19" s="17">
        <v>605255.31999999995</v>
      </c>
      <c r="O19" s="18">
        <f>IFERROR(Table1[[#This Row],[30-7 stock lvl]]/Table1[[#This Row],[26-Aug]],0)</f>
        <v>10.597914420214551</v>
      </c>
      <c r="P19" s="1" t="s">
        <v>823</v>
      </c>
    </row>
    <row r="20" spans="1:16" x14ac:dyDescent="0.25">
      <c r="A20" s="2">
        <v>200201011000</v>
      </c>
      <c r="B20" s="10" t="s">
        <v>340</v>
      </c>
      <c r="C20" s="6" t="s">
        <v>341</v>
      </c>
      <c r="D20" s="6" t="s">
        <v>827</v>
      </c>
      <c r="E20" s="21" t="s">
        <v>28</v>
      </c>
      <c r="G20" s="1" t="s">
        <v>7</v>
      </c>
      <c r="H20" s="1">
        <v>0</v>
      </c>
      <c r="I20" s="1" t="s">
        <v>782</v>
      </c>
      <c r="J20" s="24">
        <v>44648</v>
      </c>
      <c r="K20" s="16">
        <v>122660.67999999998</v>
      </c>
      <c r="L20" s="19">
        <v>129743.62</v>
      </c>
      <c r="M20" s="19">
        <v>124614.07</v>
      </c>
      <c r="N20" s="17">
        <v>1312380.943</v>
      </c>
      <c r="O20" s="18">
        <f>IFERROR(Table1[[#This Row],[30-7 stock lvl]]/Table1[[#This Row],[26-Aug]],0)</f>
        <v>10.531563113218274</v>
      </c>
      <c r="P20" s="1" t="s">
        <v>823</v>
      </c>
    </row>
    <row r="21" spans="1:16" x14ac:dyDescent="0.25">
      <c r="A21" s="2">
        <v>200203010813</v>
      </c>
      <c r="B21" s="10" t="s">
        <v>477</v>
      </c>
      <c r="C21" s="6" t="s">
        <v>478</v>
      </c>
      <c r="E21" s="21" t="s">
        <v>83</v>
      </c>
      <c r="G21" s="1" t="s">
        <v>7</v>
      </c>
      <c r="H21" s="1">
        <v>0</v>
      </c>
      <c r="I21" s="1" t="s">
        <v>767</v>
      </c>
      <c r="J21" s="24">
        <v>45857</v>
      </c>
      <c r="K21" s="16">
        <v>74355.194900000017</v>
      </c>
      <c r="L21" s="19">
        <v>79213.41</v>
      </c>
      <c r="M21" s="19">
        <v>73191.279800000004</v>
      </c>
      <c r="N21" s="17">
        <v>767374.76249999995</v>
      </c>
      <c r="O21" s="18">
        <f>IFERROR(Table1[[#This Row],[30-7 stock lvl]]/Table1[[#This Row],[26-Aug]],0)</f>
        <v>10.484510785942016</v>
      </c>
      <c r="P21" s="1" t="s">
        <v>823</v>
      </c>
    </row>
    <row r="22" spans="1:16" x14ac:dyDescent="0.25">
      <c r="A22" s="2">
        <v>200205010924</v>
      </c>
      <c r="B22" s="10" t="s">
        <v>667</v>
      </c>
      <c r="C22" s="6" t="s">
        <v>751</v>
      </c>
      <c r="E22" s="21" t="s">
        <v>245</v>
      </c>
      <c r="G22" s="1" t="s">
        <v>7</v>
      </c>
      <c r="H22" s="1">
        <v>0</v>
      </c>
      <c r="I22" s="1" t="s">
        <v>792</v>
      </c>
      <c r="J22" s="24">
        <v>45960</v>
      </c>
      <c r="K22" s="16">
        <v>48762.464700000004</v>
      </c>
      <c r="L22" s="19">
        <v>65170.302600000003</v>
      </c>
      <c r="M22" s="19">
        <v>60988.209699999999</v>
      </c>
      <c r="N22" s="17">
        <v>634337.67249999999</v>
      </c>
      <c r="O22" s="18">
        <f>IFERROR(Table1[[#This Row],[30-7 stock lvl]]/Table1[[#This Row],[26-Aug]],0)</f>
        <v>10.400988578289091</v>
      </c>
      <c r="P22" s="1" t="s">
        <v>824</v>
      </c>
    </row>
    <row r="23" spans="1:16" x14ac:dyDescent="0.25">
      <c r="A23" s="2">
        <v>200204030022</v>
      </c>
      <c r="B23" s="10" t="s">
        <v>546</v>
      </c>
      <c r="C23" s="6" t="s">
        <v>547</v>
      </c>
      <c r="E23" s="21" t="s">
        <v>511</v>
      </c>
      <c r="G23" s="1" t="s">
        <v>7</v>
      </c>
      <c r="H23" s="1">
        <v>0</v>
      </c>
      <c r="I23" s="1" t="s">
        <v>783</v>
      </c>
      <c r="J23" s="24">
        <v>45189</v>
      </c>
      <c r="K23" s="16">
        <v>64888.571599999996</v>
      </c>
      <c r="L23" s="19">
        <v>62939.721500000014</v>
      </c>
      <c r="M23" s="19">
        <v>59966.364099999999</v>
      </c>
      <c r="N23" s="17">
        <v>620048.78599999996</v>
      </c>
      <c r="O23" s="18">
        <f>IFERROR(Table1[[#This Row],[30-7 stock lvl]]/Table1[[#This Row],[26-Aug]],0)</f>
        <v>10.339942988139246</v>
      </c>
      <c r="P23" s="1" t="s">
        <v>823</v>
      </c>
    </row>
    <row r="24" spans="1:16" x14ac:dyDescent="0.25">
      <c r="A24" s="2">
        <v>200205020100</v>
      </c>
      <c r="B24" s="10" t="s">
        <v>669</v>
      </c>
      <c r="C24" s="6" t="s">
        <v>670</v>
      </c>
      <c r="E24" s="21" t="s">
        <v>389</v>
      </c>
      <c r="G24" s="1" t="s">
        <v>7</v>
      </c>
      <c r="H24" s="1">
        <v>0</v>
      </c>
      <c r="I24" s="1" t="s">
        <v>772</v>
      </c>
      <c r="J24" s="24">
        <v>45824</v>
      </c>
      <c r="K24" s="16">
        <v>55068.667699999991</v>
      </c>
      <c r="L24" s="19">
        <v>63460.81</v>
      </c>
      <c r="M24" s="19">
        <v>56639.2117</v>
      </c>
      <c r="N24" s="17">
        <v>582387.56999999995</v>
      </c>
      <c r="O24" s="18">
        <f>IFERROR(Table1[[#This Row],[30-7 stock lvl]]/Table1[[#This Row],[26-Aug]],0)</f>
        <v>10.282409527249829</v>
      </c>
      <c r="P24" s="1" t="s">
        <v>824</v>
      </c>
    </row>
    <row r="25" spans="1:16" x14ac:dyDescent="0.25">
      <c r="A25" s="2">
        <v>200202001005</v>
      </c>
      <c r="B25" s="10" t="s">
        <v>708</v>
      </c>
      <c r="C25" s="6" t="s">
        <v>707</v>
      </c>
      <c r="E25" s="21" t="s">
        <v>389</v>
      </c>
      <c r="G25" s="1" t="s">
        <v>7</v>
      </c>
      <c r="H25" s="1">
        <v>0</v>
      </c>
      <c r="I25" s="1" t="s">
        <v>765</v>
      </c>
      <c r="J25" s="24">
        <v>44564</v>
      </c>
      <c r="K25" s="16">
        <v>65056.86</v>
      </c>
      <c r="L25" s="19">
        <v>86098.529999999984</v>
      </c>
      <c r="M25" s="19">
        <v>76360.160000000003</v>
      </c>
      <c r="N25" s="17">
        <v>775477.35250000004</v>
      </c>
      <c r="O25" s="18">
        <f>IFERROR(Table1[[#This Row],[30-7 stock lvl]]/Table1[[#This Row],[26-Aug]],0)</f>
        <v>10.155522886541883</v>
      </c>
      <c r="P25" s="1" t="s">
        <v>824</v>
      </c>
    </row>
    <row r="26" spans="1:16" x14ac:dyDescent="0.25">
      <c r="A26" s="2">
        <v>200202001031</v>
      </c>
      <c r="B26" s="10" t="s">
        <v>433</v>
      </c>
      <c r="C26" s="6" t="s">
        <v>434</v>
      </c>
      <c r="E26" s="21" t="s">
        <v>389</v>
      </c>
      <c r="G26" s="1" t="s">
        <v>7</v>
      </c>
      <c r="H26" s="1">
        <v>0</v>
      </c>
      <c r="I26" s="1" t="s">
        <v>765</v>
      </c>
      <c r="J26" s="24">
        <v>45861</v>
      </c>
      <c r="K26" s="16">
        <v>56463.546699999977</v>
      </c>
      <c r="L26" s="19">
        <v>59410.160000000011</v>
      </c>
      <c r="M26" s="19">
        <v>65507.781199999998</v>
      </c>
      <c r="N26" s="17">
        <v>660443.05500000005</v>
      </c>
      <c r="O26" s="18">
        <f>IFERROR(Table1[[#This Row],[30-7 stock lvl]]/Table1[[#This Row],[26-Aug]],0)</f>
        <v>10.081902377117911</v>
      </c>
      <c r="P26" s="1" t="s">
        <v>823</v>
      </c>
    </row>
    <row r="27" spans="1:16" x14ac:dyDescent="0.25">
      <c r="A27" s="2">
        <v>101202001009</v>
      </c>
      <c r="B27" s="10" t="s">
        <v>173</v>
      </c>
      <c r="C27" s="6" t="s">
        <v>174</v>
      </c>
      <c r="E27" s="21" t="s">
        <v>158</v>
      </c>
      <c r="F27" s="1" t="s">
        <v>29</v>
      </c>
      <c r="G27" s="1" t="s">
        <v>7</v>
      </c>
      <c r="H27" s="1">
        <v>0</v>
      </c>
      <c r="I27" s="1" t="s">
        <v>763</v>
      </c>
      <c r="J27" s="24">
        <v>45689</v>
      </c>
      <c r="K27" s="16">
        <v>37249.211400000007</v>
      </c>
      <c r="L27" s="19">
        <v>53423.750000000007</v>
      </c>
      <c r="M27" s="19">
        <v>46626.754800000002</v>
      </c>
      <c r="N27" s="17">
        <v>466109.90149999998</v>
      </c>
      <c r="O27" s="18">
        <f>IFERROR(Table1[[#This Row],[30-7 stock lvl]]/Table1[[#This Row],[26-Aug]],0)</f>
        <v>9.9966189690730936</v>
      </c>
      <c r="P27" s="1" t="s">
        <v>823</v>
      </c>
    </row>
    <row r="28" spans="1:16" x14ac:dyDescent="0.25">
      <c r="A28" s="2">
        <v>200201010968</v>
      </c>
      <c r="B28" s="10" t="s">
        <v>335</v>
      </c>
      <c r="C28" s="6" t="s">
        <v>694</v>
      </c>
      <c r="E28" s="21" t="s">
        <v>28</v>
      </c>
      <c r="G28" s="1" t="s">
        <v>7</v>
      </c>
      <c r="H28" s="1">
        <v>0</v>
      </c>
      <c r="I28" s="1" t="s">
        <v>782</v>
      </c>
      <c r="J28" s="24">
        <v>45985</v>
      </c>
      <c r="K28" s="16">
        <v>111029.683</v>
      </c>
      <c r="L28" s="19">
        <v>90068.409999999989</v>
      </c>
      <c r="M28" s="19">
        <v>93468.792300000001</v>
      </c>
      <c r="N28" s="17">
        <v>933571.94750000001</v>
      </c>
      <c r="O28" s="18">
        <f>IFERROR(Table1[[#This Row],[30-7 stock lvl]]/Table1[[#This Row],[26-Aug]],0)</f>
        <v>9.9880604480646529</v>
      </c>
      <c r="P28" s="1" t="s">
        <v>823</v>
      </c>
    </row>
    <row r="29" spans="1:16" x14ac:dyDescent="0.25">
      <c r="A29" s="2">
        <v>200201010954</v>
      </c>
      <c r="B29" s="10" t="s">
        <v>312</v>
      </c>
      <c r="C29" s="6" t="s">
        <v>313</v>
      </c>
      <c r="E29" s="21" t="s">
        <v>210</v>
      </c>
      <c r="G29" s="1" t="s">
        <v>129</v>
      </c>
      <c r="H29" s="1">
        <v>0</v>
      </c>
      <c r="I29" s="1" t="s">
        <v>782</v>
      </c>
      <c r="J29" s="24">
        <v>45666</v>
      </c>
      <c r="K29" s="16">
        <v>31883.055</v>
      </c>
      <c r="L29" s="19">
        <v>40197.539999999994</v>
      </c>
      <c r="M29" s="19">
        <v>44782.89</v>
      </c>
      <c r="N29" s="17">
        <v>446253.23749999999</v>
      </c>
      <c r="O29" s="18">
        <f>IFERROR(Table1[[#This Row],[30-7 stock lvl]]/Table1[[#This Row],[26-Aug]],0)</f>
        <v>9.96481552441122</v>
      </c>
      <c r="P29" s="1" t="s">
        <v>823</v>
      </c>
    </row>
    <row r="30" spans="1:16" x14ac:dyDescent="0.25">
      <c r="A30" s="2">
        <v>200201030907</v>
      </c>
      <c r="B30" s="12" t="s">
        <v>368</v>
      </c>
      <c r="C30" s="6" t="s">
        <v>673</v>
      </c>
      <c r="E30" s="21" t="s">
        <v>79</v>
      </c>
      <c r="G30" s="1" t="s">
        <v>7</v>
      </c>
      <c r="H30" s="1">
        <v>0</v>
      </c>
      <c r="I30" s="1" t="s">
        <v>784</v>
      </c>
      <c r="J30" s="24">
        <v>46125</v>
      </c>
      <c r="K30" s="16">
        <v>51905.394500000002</v>
      </c>
      <c r="L30" s="19">
        <v>75500.23000000001</v>
      </c>
      <c r="M30" s="19">
        <v>67277.3</v>
      </c>
      <c r="N30" s="17">
        <v>656369.64749999996</v>
      </c>
      <c r="O30" s="18">
        <f>IFERROR(Table1[[#This Row],[30-7 stock lvl]]/Table1[[#This Row],[26-Aug]],0)</f>
        <v>9.7561829547261851</v>
      </c>
      <c r="P30" s="1" t="s">
        <v>823</v>
      </c>
    </row>
    <row r="31" spans="1:16" x14ac:dyDescent="0.25">
      <c r="A31" s="2">
        <v>200202001036</v>
      </c>
      <c r="B31" s="10" t="s">
        <v>438</v>
      </c>
      <c r="C31" s="6" t="s">
        <v>439</v>
      </c>
      <c r="E31" s="21" t="s">
        <v>389</v>
      </c>
      <c r="G31" s="1" t="s">
        <v>7</v>
      </c>
      <c r="H31" s="1">
        <v>0</v>
      </c>
      <c r="I31" s="1" t="s">
        <v>765</v>
      </c>
      <c r="J31" s="24">
        <v>46018</v>
      </c>
      <c r="K31" s="16">
        <v>70054.335000000006</v>
      </c>
      <c r="L31" s="19">
        <v>67780.554300000003</v>
      </c>
      <c r="M31" s="19">
        <v>68814.9139</v>
      </c>
      <c r="N31" s="17">
        <v>669716.97250000003</v>
      </c>
      <c r="O31" s="18">
        <f>IFERROR(Table1[[#This Row],[30-7 stock lvl]]/Table1[[#This Row],[26-Aug]],0)</f>
        <v>9.7321486658141421</v>
      </c>
      <c r="P31" s="1" t="s">
        <v>823</v>
      </c>
    </row>
    <row r="32" spans="1:16" x14ac:dyDescent="0.25">
      <c r="A32" s="2">
        <v>200205010925</v>
      </c>
      <c r="B32" s="10" t="s">
        <v>668</v>
      </c>
      <c r="C32" s="6" t="s">
        <v>752</v>
      </c>
      <c r="E32" s="21" t="s">
        <v>245</v>
      </c>
      <c r="G32" s="1" t="s">
        <v>7</v>
      </c>
      <c r="H32" s="1">
        <v>0</v>
      </c>
      <c r="I32" s="1" t="s">
        <v>792</v>
      </c>
      <c r="J32" s="24">
        <v>45998</v>
      </c>
      <c r="K32" s="16">
        <v>54974.145299999989</v>
      </c>
      <c r="L32" s="19">
        <v>56938.979999999996</v>
      </c>
      <c r="M32" s="19">
        <v>59612.905599999998</v>
      </c>
      <c r="N32" s="17">
        <v>579138.91500000004</v>
      </c>
      <c r="O32" s="18">
        <f>IFERROR(Table1[[#This Row],[30-7 stock lvl]]/Table1[[#This Row],[26-Aug]],0)</f>
        <v>9.7149922348358082</v>
      </c>
      <c r="P32" s="1" t="s">
        <v>824</v>
      </c>
    </row>
    <row r="33" spans="1:16" x14ac:dyDescent="0.25">
      <c r="A33" s="2">
        <v>200203010803</v>
      </c>
      <c r="B33" s="10" t="s">
        <v>459</v>
      </c>
      <c r="C33" s="6" t="s">
        <v>460</v>
      </c>
      <c r="E33" s="21" t="s">
        <v>83</v>
      </c>
      <c r="F33" s="1" t="s">
        <v>29</v>
      </c>
      <c r="G33" s="1" t="s">
        <v>7</v>
      </c>
      <c r="H33" s="1">
        <v>0</v>
      </c>
      <c r="I33" s="1" t="s">
        <v>767</v>
      </c>
      <c r="J33" s="24">
        <v>45352</v>
      </c>
      <c r="K33" s="16">
        <v>58740.827200000007</v>
      </c>
      <c r="L33" s="19">
        <v>61059.93</v>
      </c>
      <c r="M33" s="19">
        <v>49402.777800000003</v>
      </c>
      <c r="N33" s="17">
        <v>477458.43849999999</v>
      </c>
      <c r="O33" s="18">
        <f>IFERROR(Table1[[#This Row],[30-7 stock lvl]]/Table1[[#This Row],[26-Aug]],0)</f>
        <v>9.6646071286299193</v>
      </c>
      <c r="P33" s="1" t="s">
        <v>823</v>
      </c>
    </row>
    <row r="34" spans="1:16" x14ac:dyDescent="0.25">
      <c r="A34" s="2">
        <v>200204030020</v>
      </c>
      <c r="B34" s="10" t="s">
        <v>543</v>
      </c>
      <c r="C34" s="6" t="s">
        <v>544</v>
      </c>
      <c r="E34" s="21" t="s">
        <v>511</v>
      </c>
      <c r="F34" s="1" t="s">
        <v>29</v>
      </c>
      <c r="G34" s="1" t="s">
        <v>7</v>
      </c>
      <c r="H34" s="1">
        <v>0</v>
      </c>
      <c r="I34" s="1" t="s">
        <v>783</v>
      </c>
      <c r="J34" s="24">
        <v>45161</v>
      </c>
      <c r="K34" s="16">
        <v>73414.928900000014</v>
      </c>
      <c r="L34" s="19">
        <v>69925.207000000009</v>
      </c>
      <c r="M34" s="19">
        <v>54517.026599999997</v>
      </c>
      <c r="N34" s="17">
        <v>525162.89500000002</v>
      </c>
      <c r="O34" s="18">
        <f>IFERROR(Table1[[#This Row],[30-7 stock lvl]]/Table1[[#This Row],[26-Aug]],0)</f>
        <v>9.6330069292517138</v>
      </c>
      <c r="P34" s="1" t="s">
        <v>823</v>
      </c>
    </row>
    <row r="35" spans="1:16" x14ac:dyDescent="0.25">
      <c r="A35" s="2">
        <v>200204030057</v>
      </c>
      <c r="B35" s="10" t="s">
        <v>605</v>
      </c>
      <c r="C35" s="6" t="s">
        <v>743</v>
      </c>
      <c r="E35" s="21" t="s">
        <v>491</v>
      </c>
      <c r="G35" s="1" t="s">
        <v>7</v>
      </c>
      <c r="H35" s="1">
        <v>0</v>
      </c>
      <c r="I35" s="1" t="s">
        <v>785</v>
      </c>
      <c r="J35" s="24">
        <v>45964</v>
      </c>
      <c r="K35" s="16">
        <v>69468.854199999987</v>
      </c>
      <c r="L35" s="19">
        <v>81048.5</v>
      </c>
      <c r="M35" s="19">
        <v>71764.829700000002</v>
      </c>
      <c r="N35" s="17">
        <v>688709.10549999995</v>
      </c>
      <c r="O35" s="18">
        <f>IFERROR(Table1[[#This Row],[30-7 stock lvl]]/Table1[[#This Row],[26-Aug]],0)</f>
        <v>9.596749666640676</v>
      </c>
      <c r="P35" s="1" t="s">
        <v>823</v>
      </c>
    </row>
    <row r="36" spans="1:16" x14ac:dyDescent="0.25">
      <c r="A36" s="2">
        <v>200204030034</v>
      </c>
      <c r="B36" s="10" t="s">
        <v>569</v>
      </c>
      <c r="C36" s="6" t="s">
        <v>733</v>
      </c>
      <c r="E36" s="21" t="s">
        <v>158</v>
      </c>
      <c r="G36" s="1" t="s">
        <v>7</v>
      </c>
      <c r="H36" s="1">
        <v>0</v>
      </c>
      <c r="I36" s="1" t="s">
        <v>785</v>
      </c>
      <c r="J36" s="24">
        <v>45957</v>
      </c>
      <c r="K36" s="16">
        <v>42892.172399999989</v>
      </c>
      <c r="L36" s="19">
        <v>67958.740000000005</v>
      </c>
      <c r="M36" s="19">
        <v>72531.858999999997</v>
      </c>
      <c r="N36" s="17">
        <v>685390.63899999997</v>
      </c>
      <c r="O36" s="18">
        <f>IFERROR(Table1[[#This Row],[30-7 stock lvl]]/Table1[[#This Row],[26-Aug]],0)</f>
        <v>9.4495115449888019</v>
      </c>
      <c r="P36" s="1" t="s">
        <v>823</v>
      </c>
    </row>
    <row r="37" spans="1:16" x14ac:dyDescent="0.25">
      <c r="A37" s="2">
        <v>200204030058</v>
      </c>
      <c r="B37" s="10" t="s">
        <v>606</v>
      </c>
      <c r="C37" s="6" t="s">
        <v>744</v>
      </c>
      <c r="E37" s="21" t="s">
        <v>491</v>
      </c>
      <c r="G37" s="1" t="s">
        <v>7</v>
      </c>
      <c r="H37" s="1">
        <v>0</v>
      </c>
      <c r="I37" s="1" t="s">
        <v>785</v>
      </c>
      <c r="J37" s="24">
        <v>46082</v>
      </c>
      <c r="K37" s="16">
        <v>33858.111499999999</v>
      </c>
      <c r="L37" s="19">
        <v>55019.320000000007</v>
      </c>
      <c r="M37" s="19">
        <v>63800.1826</v>
      </c>
      <c r="N37" s="17">
        <v>600469.99</v>
      </c>
      <c r="O37" s="18">
        <f>IFERROR(Table1[[#This Row],[30-7 stock lvl]]/Table1[[#This Row],[26-Aug]],0)</f>
        <v>9.4117283921378618</v>
      </c>
      <c r="P37" s="1" t="s">
        <v>823</v>
      </c>
    </row>
    <row r="38" spans="1:16" x14ac:dyDescent="0.25">
      <c r="A38" s="2">
        <v>200201020500</v>
      </c>
      <c r="B38" s="10" t="s">
        <v>350</v>
      </c>
      <c r="C38" s="6" t="s">
        <v>351</v>
      </c>
      <c r="E38" s="21" t="s">
        <v>28</v>
      </c>
      <c r="G38" s="1" t="s">
        <v>7</v>
      </c>
      <c r="H38" s="1">
        <v>0</v>
      </c>
      <c r="I38" s="1" t="s">
        <v>782</v>
      </c>
      <c r="J38" s="24">
        <v>45868</v>
      </c>
      <c r="K38" s="16">
        <v>53567.670600000005</v>
      </c>
      <c r="L38" s="19">
        <v>46538.649999999994</v>
      </c>
      <c r="M38" s="19">
        <v>56315.209499999997</v>
      </c>
      <c r="N38" s="17">
        <v>525389.48100000003</v>
      </c>
      <c r="O38" s="18">
        <f>IFERROR(Table1[[#This Row],[30-7 stock lvl]]/Table1[[#This Row],[26-Aug]],0)</f>
        <v>9.3294420044730551</v>
      </c>
      <c r="P38" s="1" t="s">
        <v>823</v>
      </c>
    </row>
    <row r="39" spans="1:16" x14ac:dyDescent="0.25">
      <c r="A39" s="2">
        <v>200203010815</v>
      </c>
      <c r="B39" s="10" t="s">
        <v>481</v>
      </c>
      <c r="C39" s="6" t="s">
        <v>722</v>
      </c>
      <c r="E39" s="21" t="s">
        <v>83</v>
      </c>
      <c r="G39" s="1" t="s">
        <v>7</v>
      </c>
      <c r="H39" s="1">
        <v>0</v>
      </c>
      <c r="I39" s="1" t="s">
        <v>767</v>
      </c>
      <c r="J39" s="24">
        <v>45932</v>
      </c>
      <c r="K39" s="16">
        <v>56418.889900000002</v>
      </c>
      <c r="L39" s="19">
        <v>74236.539199999999</v>
      </c>
      <c r="M39" s="19">
        <v>68475.998000000007</v>
      </c>
      <c r="N39" s="17">
        <v>634826.06000000006</v>
      </c>
      <c r="O39" s="18">
        <f>IFERROR(Table1[[#This Row],[30-7 stock lvl]]/Table1[[#This Row],[26-Aug]],0)</f>
        <v>9.2707821505573378</v>
      </c>
      <c r="P39" s="1" t="s">
        <v>823</v>
      </c>
    </row>
    <row r="40" spans="1:16" x14ac:dyDescent="0.25">
      <c r="A40" s="2">
        <v>200205010915</v>
      </c>
      <c r="B40" s="10" t="s">
        <v>652</v>
      </c>
      <c r="C40" s="6" t="s">
        <v>653</v>
      </c>
      <c r="E40" s="21" t="s">
        <v>245</v>
      </c>
      <c r="G40" s="1" t="s">
        <v>7</v>
      </c>
      <c r="H40" s="1">
        <v>0</v>
      </c>
      <c r="I40" s="1" t="s">
        <v>769</v>
      </c>
      <c r="J40" s="24">
        <v>45792</v>
      </c>
      <c r="K40" s="16">
        <v>106175.02960000002</v>
      </c>
      <c r="L40" s="19">
        <v>95317.996999999974</v>
      </c>
      <c r="M40" s="19">
        <v>74289.660099999994</v>
      </c>
      <c r="N40" s="17">
        <v>674511.39</v>
      </c>
      <c r="O40" s="18">
        <f>IFERROR(Table1[[#This Row],[30-7 stock lvl]]/Table1[[#This Row],[26-Aug]],0)</f>
        <v>9.079478747002641</v>
      </c>
      <c r="P40" s="1" t="s">
        <v>823</v>
      </c>
    </row>
    <row r="41" spans="1:16" x14ac:dyDescent="0.25">
      <c r="A41" s="2">
        <v>200201010925</v>
      </c>
      <c r="B41" s="10" t="s">
        <v>262</v>
      </c>
      <c r="C41" s="6" t="s">
        <v>263</v>
      </c>
      <c r="E41" s="21" t="s">
        <v>210</v>
      </c>
      <c r="G41" s="1" t="s">
        <v>129</v>
      </c>
      <c r="H41" s="1">
        <v>0</v>
      </c>
      <c r="I41" s="1" t="s">
        <v>782</v>
      </c>
      <c r="J41" s="24">
        <v>45241</v>
      </c>
      <c r="K41" s="16">
        <v>65703.12490000001</v>
      </c>
      <c r="L41" s="19">
        <v>70275.482400000008</v>
      </c>
      <c r="M41" s="19">
        <v>66645.695999999996</v>
      </c>
      <c r="N41" s="17">
        <v>601586.26950000005</v>
      </c>
      <c r="O41" s="18">
        <f>IFERROR(Table1[[#This Row],[30-7 stock lvl]]/Table1[[#This Row],[26-Aug]],0)</f>
        <v>9.0266334603212801</v>
      </c>
      <c r="P41" s="1" t="s">
        <v>823</v>
      </c>
    </row>
    <row r="42" spans="1:16" x14ac:dyDescent="0.25">
      <c r="A42" s="2">
        <v>200204030061</v>
      </c>
      <c r="B42" s="10" t="s">
        <v>776</v>
      </c>
      <c r="C42" s="6" t="s">
        <v>773</v>
      </c>
      <c r="E42" s="21" t="s">
        <v>491</v>
      </c>
      <c r="G42" s="1" t="s">
        <v>7</v>
      </c>
      <c r="H42" s="1">
        <v>0</v>
      </c>
      <c r="I42" s="1" t="s">
        <v>785</v>
      </c>
      <c r="J42" s="24">
        <v>46130</v>
      </c>
      <c r="K42" s="16">
        <v>21393.29</v>
      </c>
      <c r="L42" s="19">
        <v>53846.700000000004</v>
      </c>
      <c r="M42" s="19">
        <v>70508.1345</v>
      </c>
      <c r="N42" s="17">
        <v>624517.80000000005</v>
      </c>
      <c r="O42" s="18">
        <f>IFERROR(Table1[[#This Row],[30-7 stock lvl]]/Table1[[#This Row],[26-Aug]],0)</f>
        <v>8.8573865189980321</v>
      </c>
      <c r="P42" s="1" t="s">
        <v>823</v>
      </c>
    </row>
    <row r="43" spans="1:16" x14ac:dyDescent="0.25">
      <c r="A43" s="2">
        <v>200204020006</v>
      </c>
      <c r="B43" s="10" t="s">
        <v>508</v>
      </c>
      <c r="C43" s="6" t="s">
        <v>727</v>
      </c>
      <c r="E43" s="21" t="s">
        <v>158</v>
      </c>
      <c r="G43" s="1" t="s">
        <v>7</v>
      </c>
      <c r="H43" s="1">
        <v>0</v>
      </c>
      <c r="I43" s="1" t="s">
        <v>763</v>
      </c>
      <c r="J43" s="24">
        <v>46065</v>
      </c>
      <c r="K43" s="16">
        <v>50198.952199999992</v>
      </c>
      <c r="L43" s="19">
        <v>58428.58</v>
      </c>
      <c r="M43" s="19">
        <v>63117.490299999998</v>
      </c>
      <c r="N43" s="17">
        <v>557814.995</v>
      </c>
      <c r="O43" s="18">
        <f>IFERROR(Table1[[#This Row],[30-7 stock lvl]]/Table1[[#This Row],[26-Aug]],0)</f>
        <v>8.837724572835242</v>
      </c>
      <c r="P43" s="1" t="s">
        <v>823</v>
      </c>
    </row>
    <row r="44" spans="1:16" x14ac:dyDescent="0.25">
      <c r="A44" s="2">
        <v>200201030906</v>
      </c>
      <c r="B44" s="10" t="s">
        <v>367</v>
      </c>
      <c r="C44" s="6" t="s">
        <v>702</v>
      </c>
      <c r="E44" s="21" t="s">
        <v>79</v>
      </c>
      <c r="G44" s="1" t="s">
        <v>7</v>
      </c>
      <c r="H44" s="1">
        <v>0</v>
      </c>
      <c r="I44" s="1" t="s">
        <v>784</v>
      </c>
      <c r="J44" s="24">
        <v>46062</v>
      </c>
      <c r="K44" s="16">
        <v>62321.059600000001</v>
      </c>
      <c r="L44" s="19">
        <v>72108.904800000004</v>
      </c>
      <c r="M44" s="19">
        <v>72385.443700000003</v>
      </c>
      <c r="N44" s="17">
        <v>638851.83499999996</v>
      </c>
      <c r="O44" s="18">
        <f>IFERROR(Table1[[#This Row],[30-7 stock lvl]]/Table1[[#This Row],[26-Aug]],0)</f>
        <v>8.8256948130028512</v>
      </c>
      <c r="P44" s="1" t="s">
        <v>823</v>
      </c>
    </row>
    <row r="45" spans="1:16" x14ac:dyDescent="0.25">
      <c r="A45" s="2">
        <v>200205010300</v>
      </c>
      <c r="B45" s="10" t="s">
        <v>746</v>
      </c>
      <c r="C45" s="6" t="s">
        <v>612</v>
      </c>
      <c r="E45" s="21" t="s">
        <v>210</v>
      </c>
      <c r="G45" s="1" t="s">
        <v>129</v>
      </c>
      <c r="H45" s="1">
        <v>0</v>
      </c>
      <c r="I45" s="1" t="s">
        <v>769</v>
      </c>
      <c r="J45" s="24">
        <v>45227</v>
      </c>
      <c r="K45" s="16">
        <v>40638.555899999985</v>
      </c>
      <c r="L45" s="19">
        <v>50653.810000000005</v>
      </c>
      <c r="M45" s="19">
        <v>41639.9257</v>
      </c>
      <c r="N45" s="17">
        <v>367463.35</v>
      </c>
      <c r="O45" s="18">
        <f>IFERROR(Table1[[#This Row],[30-7 stock lvl]]/Table1[[#This Row],[26-Aug]],0)</f>
        <v>8.8247839981136185</v>
      </c>
      <c r="P45" s="1" t="s">
        <v>823</v>
      </c>
    </row>
    <row r="46" spans="1:16" x14ac:dyDescent="0.25">
      <c r="A46" s="2">
        <v>200201030903</v>
      </c>
      <c r="B46" s="10" t="s">
        <v>364</v>
      </c>
      <c r="C46" s="6" t="s">
        <v>699</v>
      </c>
      <c r="E46" s="21" t="s">
        <v>79</v>
      </c>
      <c r="G46" s="1" t="s">
        <v>7</v>
      </c>
      <c r="H46" s="1">
        <v>0</v>
      </c>
      <c r="I46" s="1" t="s">
        <v>784</v>
      </c>
      <c r="J46" s="24">
        <v>46017</v>
      </c>
      <c r="K46" s="16">
        <v>71896.300699999993</v>
      </c>
      <c r="L46" s="19">
        <v>93698.84169999999</v>
      </c>
      <c r="M46" s="19">
        <v>85528.015400000004</v>
      </c>
      <c r="N46" s="17">
        <v>744036.27899999998</v>
      </c>
      <c r="O46" s="18">
        <f>IFERROR(Table1[[#This Row],[30-7 stock lvl]]/Table1[[#This Row],[26-Aug]],0)</f>
        <v>8.6993282320450049</v>
      </c>
      <c r="P46" s="1" t="s">
        <v>823</v>
      </c>
    </row>
    <row r="47" spans="1:16" x14ac:dyDescent="0.25">
      <c r="A47" s="2">
        <v>200202001028</v>
      </c>
      <c r="B47" s="10" t="s">
        <v>430</v>
      </c>
      <c r="C47" s="6" t="s">
        <v>711</v>
      </c>
      <c r="E47" s="21" t="s">
        <v>389</v>
      </c>
      <c r="G47" s="1" t="s">
        <v>7</v>
      </c>
      <c r="H47" s="1">
        <v>0</v>
      </c>
      <c r="I47" s="1" t="s">
        <v>765</v>
      </c>
      <c r="J47" s="24">
        <v>45978</v>
      </c>
      <c r="K47" s="16">
        <v>36602.631300000008</v>
      </c>
      <c r="L47" s="19">
        <v>51793.94000000001</v>
      </c>
      <c r="M47" s="19">
        <v>68122.616500000004</v>
      </c>
      <c r="N47" s="17">
        <v>573868.45360000001</v>
      </c>
      <c r="O47" s="18">
        <f>IFERROR(Table1[[#This Row],[30-7 stock lvl]]/Table1[[#This Row],[26-Aug]],0)</f>
        <v>8.4240518506801632</v>
      </c>
      <c r="P47" s="1" t="s">
        <v>824</v>
      </c>
    </row>
    <row r="48" spans="1:16" x14ac:dyDescent="0.25">
      <c r="A48" s="2">
        <v>200202001029</v>
      </c>
      <c r="B48" s="10" t="s">
        <v>713</v>
      </c>
      <c r="C48" s="6" t="s">
        <v>712</v>
      </c>
      <c r="E48" s="21" t="s">
        <v>389</v>
      </c>
      <c r="G48" s="1" t="s">
        <v>7</v>
      </c>
      <c r="H48" s="1">
        <v>0</v>
      </c>
      <c r="I48" s="1" t="s">
        <v>765</v>
      </c>
      <c r="J48" s="24">
        <v>45828</v>
      </c>
      <c r="K48" s="16">
        <v>66315.293799999985</v>
      </c>
      <c r="L48" s="19">
        <v>75490.240000000005</v>
      </c>
      <c r="M48" s="19">
        <v>73019.293000000005</v>
      </c>
      <c r="N48" s="17">
        <v>611930.8175</v>
      </c>
      <c r="O48" s="18">
        <f>IFERROR(Table1[[#This Row],[30-7 stock lvl]]/Table1[[#This Row],[26-Aug]],0)</f>
        <v>8.3803991021934436</v>
      </c>
      <c r="P48" s="1" t="s">
        <v>823</v>
      </c>
    </row>
    <row r="49" spans="1:16" x14ac:dyDescent="0.25">
      <c r="A49" s="2">
        <v>200204030054</v>
      </c>
      <c r="B49" s="10" t="s">
        <v>601</v>
      </c>
      <c r="C49" s="6" t="s">
        <v>741</v>
      </c>
      <c r="E49" s="21" t="s">
        <v>511</v>
      </c>
      <c r="G49" s="1" t="s">
        <v>7</v>
      </c>
      <c r="H49" s="1">
        <v>0</v>
      </c>
      <c r="I49" s="1" t="s">
        <v>783</v>
      </c>
      <c r="J49" s="24">
        <v>45965</v>
      </c>
      <c r="K49" s="16">
        <v>99193.709799999997</v>
      </c>
      <c r="L49" s="19">
        <v>102398.3765</v>
      </c>
      <c r="M49" s="19">
        <v>101091.7827</v>
      </c>
      <c r="N49" s="17">
        <v>841695.53599999996</v>
      </c>
      <c r="O49" s="18">
        <f>IFERROR(Table1[[#This Row],[30-7 stock lvl]]/Table1[[#This Row],[26-Aug]],0)</f>
        <v>8.3260529542526314</v>
      </c>
      <c r="P49" s="1" t="s">
        <v>823</v>
      </c>
    </row>
    <row r="50" spans="1:16" x14ac:dyDescent="0.25">
      <c r="A50" s="2">
        <v>200204030035</v>
      </c>
      <c r="B50" s="10" t="s">
        <v>570</v>
      </c>
      <c r="C50" s="6" t="s">
        <v>571</v>
      </c>
      <c r="E50" s="21" t="s">
        <v>158</v>
      </c>
      <c r="F50" s="1" t="s">
        <v>29</v>
      </c>
      <c r="G50" s="1" t="s">
        <v>7</v>
      </c>
      <c r="H50" s="1">
        <v>0</v>
      </c>
      <c r="I50" s="1" t="s">
        <v>785</v>
      </c>
      <c r="J50" s="24">
        <v>45698</v>
      </c>
      <c r="K50" s="16">
        <v>45195.889999999992</v>
      </c>
      <c r="L50" s="19">
        <v>68170.289999999994</v>
      </c>
      <c r="M50" s="19">
        <v>55410.279300000002</v>
      </c>
      <c r="N50" s="17">
        <v>456643.92249999999</v>
      </c>
      <c r="O50" s="18">
        <f>IFERROR(Table1[[#This Row],[30-7 stock lvl]]/Table1[[#This Row],[26-Aug]],0)</f>
        <v>8.241140962810487</v>
      </c>
      <c r="P50" s="1" t="s">
        <v>823</v>
      </c>
    </row>
    <row r="51" spans="1:16" x14ac:dyDescent="0.25">
      <c r="A51" s="2">
        <v>200204030045</v>
      </c>
      <c r="B51" s="10" t="s">
        <v>735</v>
      </c>
      <c r="C51" s="6" t="s">
        <v>589</v>
      </c>
      <c r="E51" s="21" t="s">
        <v>491</v>
      </c>
      <c r="G51" s="1" t="s">
        <v>7</v>
      </c>
      <c r="H51" s="1">
        <v>0</v>
      </c>
      <c r="I51" s="1" t="s">
        <v>785</v>
      </c>
      <c r="J51" s="24">
        <v>45819</v>
      </c>
      <c r="K51" s="16">
        <v>50613.773099999999</v>
      </c>
      <c r="L51" s="19">
        <v>83005.87</v>
      </c>
      <c r="M51" s="19">
        <v>69156.926500000001</v>
      </c>
      <c r="N51" s="17">
        <v>567453.42150000005</v>
      </c>
      <c r="O51" s="18">
        <f>IFERROR(Table1[[#This Row],[30-7 stock lvl]]/Table1[[#This Row],[26-Aug]],0)</f>
        <v>8.205301337386647</v>
      </c>
      <c r="P51" s="1" t="s">
        <v>823</v>
      </c>
    </row>
    <row r="52" spans="1:16" x14ac:dyDescent="0.25">
      <c r="A52" s="2">
        <v>200205020300</v>
      </c>
      <c r="B52" s="10" t="s">
        <v>671</v>
      </c>
      <c r="C52" s="6" t="s">
        <v>755</v>
      </c>
      <c r="E52" s="21" t="s">
        <v>389</v>
      </c>
      <c r="G52" s="1" t="s">
        <v>7</v>
      </c>
      <c r="H52" s="1">
        <v>0</v>
      </c>
      <c r="I52" s="1" t="s">
        <v>772</v>
      </c>
      <c r="J52" s="24">
        <v>46078</v>
      </c>
      <c r="K52" s="16">
        <v>60519.996399999989</v>
      </c>
      <c r="L52" s="19">
        <v>70681.572599999985</v>
      </c>
      <c r="M52" s="19">
        <v>73296.283899999995</v>
      </c>
      <c r="N52" s="17">
        <v>599200.81999999995</v>
      </c>
      <c r="O52" s="18">
        <f>IFERROR(Table1[[#This Row],[30-7 stock lvl]]/Table1[[#This Row],[26-Aug]],0)</f>
        <v>8.1750504680087879</v>
      </c>
      <c r="P52" s="1" t="s">
        <v>823</v>
      </c>
    </row>
    <row r="53" spans="1:16" x14ac:dyDescent="0.25">
      <c r="A53" s="2">
        <v>200201010962</v>
      </c>
      <c r="B53" s="10" t="s">
        <v>327</v>
      </c>
      <c r="C53" s="6" t="s">
        <v>328</v>
      </c>
      <c r="E53" s="21" t="s">
        <v>150</v>
      </c>
      <c r="G53" s="1" t="s">
        <v>129</v>
      </c>
      <c r="H53" s="1">
        <v>0</v>
      </c>
      <c r="I53" s="1" t="s">
        <v>782</v>
      </c>
      <c r="J53" s="24">
        <v>45754</v>
      </c>
      <c r="K53" s="16">
        <v>56167.44</v>
      </c>
      <c r="L53" s="19">
        <v>58932.669999999991</v>
      </c>
      <c r="M53" s="19">
        <v>62884.212500000001</v>
      </c>
      <c r="N53" s="17">
        <v>511527.0575</v>
      </c>
      <c r="O53" s="18">
        <f>IFERROR(Table1[[#This Row],[30-7 stock lvl]]/Table1[[#This Row],[26-Aug]],0)</f>
        <v>8.1344273413617127</v>
      </c>
      <c r="P53" s="1" t="s">
        <v>823</v>
      </c>
    </row>
    <row r="54" spans="1:16" x14ac:dyDescent="0.25">
      <c r="A54" s="2">
        <v>200204030031</v>
      </c>
      <c r="B54" s="10" t="s">
        <v>732</v>
      </c>
      <c r="C54" s="6" t="s">
        <v>564</v>
      </c>
      <c r="E54" s="21" t="s">
        <v>158</v>
      </c>
      <c r="F54" s="1" t="s">
        <v>29</v>
      </c>
      <c r="G54" s="1" t="s">
        <v>7</v>
      </c>
      <c r="H54" s="1">
        <v>0</v>
      </c>
      <c r="I54" s="1" t="s">
        <v>785</v>
      </c>
      <c r="J54" s="24">
        <v>45599</v>
      </c>
      <c r="K54" s="16">
        <v>88642.169299999994</v>
      </c>
      <c r="L54" s="19">
        <v>93802.619999999981</v>
      </c>
      <c r="M54" s="19">
        <v>71624.467000000004</v>
      </c>
      <c r="N54" s="17">
        <v>579511.77249999996</v>
      </c>
      <c r="O54" s="18">
        <f>IFERROR(Table1[[#This Row],[30-7 stock lvl]]/Table1[[#This Row],[26-Aug]],0)</f>
        <v>8.0909750085819123</v>
      </c>
      <c r="P54" s="1" t="s">
        <v>823</v>
      </c>
    </row>
    <row r="55" spans="1:16" x14ac:dyDescent="0.25">
      <c r="A55" s="2">
        <v>200205010923</v>
      </c>
      <c r="B55" s="10" t="s">
        <v>666</v>
      </c>
      <c r="C55" s="6" t="s">
        <v>750</v>
      </c>
      <c r="E55" s="21" t="s">
        <v>245</v>
      </c>
      <c r="G55" s="1" t="s">
        <v>7</v>
      </c>
      <c r="H55" s="1">
        <v>0</v>
      </c>
      <c r="I55" s="1" t="s">
        <v>792</v>
      </c>
      <c r="J55" s="24">
        <v>45959</v>
      </c>
      <c r="K55" s="16">
        <v>67420.652000000002</v>
      </c>
      <c r="L55" s="19">
        <v>78205.98000000001</v>
      </c>
      <c r="M55" s="19">
        <v>80142.654299999995</v>
      </c>
      <c r="N55" s="17">
        <v>642290.92500000005</v>
      </c>
      <c r="O55" s="18">
        <f>IFERROR(Table1[[#This Row],[30-7 stock lvl]]/Table1[[#This Row],[26-Aug]],0)</f>
        <v>8.0143455518168452</v>
      </c>
      <c r="P55" s="1" t="s">
        <v>824</v>
      </c>
    </row>
    <row r="56" spans="1:16" x14ac:dyDescent="0.25">
      <c r="A56" s="2">
        <v>100802001006</v>
      </c>
      <c r="B56" s="10" t="s">
        <v>145</v>
      </c>
      <c r="C56" s="6" t="s">
        <v>146</v>
      </c>
      <c r="E56" s="21" t="s">
        <v>13</v>
      </c>
      <c r="F56" s="1" t="s">
        <v>29</v>
      </c>
      <c r="G56" s="1" t="s">
        <v>7</v>
      </c>
      <c r="H56" s="1">
        <v>0</v>
      </c>
      <c r="I56" s="1" t="s">
        <v>782</v>
      </c>
      <c r="J56" s="24">
        <v>43252</v>
      </c>
      <c r="K56" s="16">
        <v>71947.958100000003</v>
      </c>
      <c r="L56" s="19">
        <v>103527.79000000002</v>
      </c>
      <c r="M56" s="19">
        <v>74985.2886</v>
      </c>
      <c r="N56" s="17">
        <v>598537.12</v>
      </c>
      <c r="O56" s="18">
        <f>IFERROR(Table1[[#This Row],[30-7 stock lvl]]/Table1[[#This Row],[26-Aug]],0)</f>
        <v>7.9820606304901256</v>
      </c>
      <c r="P56" s="1" t="s">
        <v>824</v>
      </c>
    </row>
    <row r="57" spans="1:16" x14ac:dyDescent="0.25">
      <c r="A57" s="2">
        <v>200202001007</v>
      </c>
      <c r="B57" s="10" t="s">
        <v>709</v>
      </c>
      <c r="C57" s="6" t="s">
        <v>390</v>
      </c>
      <c r="E57" s="21" t="s">
        <v>389</v>
      </c>
      <c r="G57" s="1" t="s">
        <v>7</v>
      </c>
      <c r="H57" s="1">
        <v>0</v>
      </c>
      <c r="I57" s="1" t="s">
        <v>765</v>
      </c>
      <c r="J57" s="24">
        <v>44809</v>
      </c>
      <c r="K57" s="16">
        <v>103602.23510000002</v>
      </c>
      <c r="L57" s="19">
        <v>110927.44</v>
      </c>
      <c r="M57" s="19">
        <v>104871.3821</v>
      </c>
      <c r="N57" s="17">
        <v>835991.23300000001</v>
      </c>
      <c r="O57" s="18">
        <f>IFERROR(Table1[[#This Row],[30-7 stock lvl]]/Table1[[#This Row],[26-Aug]],0)</f>
        <v>7.9715859203880939</v>
      </c>
      <c r="P57" s="1" t="s">
        <v>824</v>
      </c>
    </row>
    <row r="58" spans="1:16" x14ac:dyDescent="0.25">
      <c r="A58" s="2">
        <v>200204030026</v>
      </c>
      <c r="B58" s="10" t="s">
        <v>554</v>
      </c>
      <c r="C58" s="6" t="s">
        <v>555</v>
      </c>
      <c r="E58" s="21" t="s">
        <v>511</v>
      </c>
      <c r="G58" s="1" t="s">
        <v>7</v>
      </c>
      <c r="H58" s="1">
        <v>0</v>
      </c>
      <c r="I58" s="1" t="s">
        <v>768</v>
      </c>
      <c r="J58" s="24">
        <v>45370</v>
      </c>
      <c r="K58" s="16">
        <v>70871.290200000003</v>
      </c>
      <c r="L58" s="19">
        <v>100006.08999999998</v>
      </c>
      <c r="M58" s="19">
        <v>93112.626799999998</v>
      </c>
      <c r="N58" s="17">
        <v>734529.05550000002</v>
      </c>
      <c r="O58" s="18">
        <f>IFERROR(Table1[[#This Row],[30-7 stock lvl]]/Table1[[#This Row],[26-Aug]],0)</f>
        <v>7.8886084599215716</v>
      </c>
      <c r="P58" s="1" t="s">
        <v>823</v>
      </c>
    </row>
    <row r="59" spans="1:16" x14ac:dyDescent="0.25">
      <c r="A59" s="2">
        <v>200204030051</v>
      </c>
      <c r="B59" s="10" t="s">
        <v>597</v>
      </c>
      <c r="C59" s="6" t="s">
        <v>739</v>
      </c>
      <c r="E59" s="21" t="s">
        <v>511</v>
      </c>
      <c r="G59" s="1" t="s">
        <v>7</v>
      </c>
      <c r="H59" s="1">
        <v>0</v>
      </c>
      <c r="I59" s="1" t="s">
        <v>783</v>
      </c>
      <c r="J59" s="24">
        <v>45938</v>
      </c>
      <c r="K59" s="16">
        <v>70895.808799999984</v>
      </c>
      <c r="L59" s="19">
        <v>80535.997499999983</v>
      </c>
      <c r="M59" s="19">
        <v>97625.252099999998</v>
      </c>
      <c r="N59" s="17">
        <v>767391.35149999999</v>
      </c>
      <c r="O59" s="18">
        <f>IFERROR(Table1[[#This Row],[30-7 stock lvl]]/Table1[[#This Row],[26-Aug]],0)</f>
        <v>7.8605825336455135</v>
      </c>
      <c r="P59" s="1" t="s">
        <v>823</v>
      </c>
    </row>
    <row r="60" spans="1:16" x14ac:dyDescent="0.25">
      <c r="A60" s="2">
        <v>200204030056</v>
      </c>
      <c r="B60" s="10" t="s">
        <v>604</v>
      </c>
      <c r="C60" s="6" t="s">
        <v>742</v>
      </c>
      <c r="E60" s="21" t="s">
        <v>511</v>
      </c>
      <c r="G60" s="1" t="s">
        <v>7</v>
      </c>
      <c r="H60" s="1">
        <v>0</v>
      </c>
      <c r="I60" s="1" t="s">
        <v>768</v>
      </c>
      <c r="J60" s="24">
        <v>46005</v>
      </c>
      <c r="K60" s="16">
        <v>86715.631500000018</v>
      </c>
      <c r="L60" s="19">
        <v>90681.477000000014</v>
      </c>
      <c r="M60" s="19">
        <v>96710.630099999995</v>
      </c>
      <c r="N60" s="17">
        <v>748589.00249999994</v>
      </c>
      <c r="O60" s="18">
        <f>IFERROR(Table1[[#This Row],[30-7 stock lvl]]/Table1[[#This Row],[26-Aug]],0)</f>
        <v>7.7405038280274834</v>
      </c>
      <c r="P60" s="1" t="s">
        <v>823</v>
      </c>
    </row>
    <row r="61" spans="1:16" x14ac:dyDescent="0.25">
      <c r="A61" s="2">
        <v>200204030028</v>
      </c>
      <c r="B61" s="10" t="s">
        <v>558</v>
      </c>
      <c r="C61" s="6" t="s">
        <v>559</v>
      </c>
      <c r="E61" s="21" t="s">
        <v>511</v>
      </c>
      <c r="F61" s="1" t="s">
        <v>29</v>
      </c>
      <c r="G61" s="1" t="s">
        <v>7</v>
      </c>
      <c r="H61" s="1">
        <v>0</v>
      </c>
      <c r="I61" s="1" t="s">
        <v>768</v>
      </c>
      <c r="J61" s="24">
        <v>45376</v>
      </c>
      <c r="K61" s="16">
        <v>44533.775600000001</v>
      </c>
      <c r="L61" s="19">
        <v>63056.879999999983</v>
      </c>
      <c r="M61" s="19">
        <v>61549.042099999999</v>
      </c>
      <c r="N61" s="17">
        <v>474804.79350000003</v>
      </c>
      <c r="O61" s="18">
        <f>IFERROR(Table1[[#This Row],[30-7 stock lvl]]/Table1[[#This Row],[26-Aug]],0)</f>
        <v>7.7142515512845007</v>
      </c>
      <c r="P61" s="1" t="s">
        <v>824</v>
      </c>
    </row>
    <row r="62" spans="1:16" x14ac:dyDescent="0.25">
      <c r="A62" s="2">
        <v>200204030062</v>
      </c>
      <c r="B62" s="10" t="s">
        <v>777</v>
      </c>
      <c r="C62" s="6" t="s">
        <v>774</v>
      </c>
      <c r="E62" s="21" t="s">
        <v>491</v>
      </c>
      <c r="G62" s="1" t="s">
        <v>7</v>
      </c>
      <c r="H62" s="1">
        <v>0</v>
      </c>
      <c r="I62" s="1" t="s">
        <v>785</v>
      </c>
      <c r="J62" s="24">
        <v>46131</v>
      </c>
      <c r="K62" s="16">
        <v>46090.84</v>
      </c>
      <c r="L62" s="19">
        <v>74803.58</v>
      </c>
      <c r="M62" s="19">
        <v>82176.760899999994</v>
      </c>
      <c r="N62" s="17">
        <v>622299.80000000005</v>
      </c>
      <c r="O62" s="18">
        <f>IFERROR(Table1[[#This Row],[30-7 stock lvl]]/Table1[[#This Row],[26-Aug]],0)</f>
        <v>7.5726980862298756</v>
      </c>
      <c r="P62" s="1" t="s">
        <v>823</v>
      </c>
    </row>
    <row r="63" spans="1:16" x14ac:dyDescent="0.25">
      <c r="A63" s="2">
        <v>200204030053</v>
      </c>
      <c r="B63" s="10" t="s">
        <v>599</v>
      </c>
      <c r="C63" s="6" t="s">
        <v>600</v>
      </c>
      <c r="E63" s="21" t="s">
        <v>511</v>
      </c>
      <c r="G63" s="1" t="s">
        <v>7</v>
      </c>
      <c r="H63" s="1">
        <v>0</v>
      </c>
      <c r="I63" s="1" t="s">
        <v>768</v>
      </c>
      <c r="J63" s="24">
        <v>45972</v>
      </c>
      <c r="K63" s="16">
        <v>81992.829100000017</v>
      </c>
      <c r="L63" s="19">
        <v>95775.21</v>
      </c>
      <c r="M63" s="19">
        <v>97278.797099999996</v>
      </c>
      <c r="N63" s="17">
        <v>735859.5</v>
      </c>
      <c r="O63" s="18">
        <f>IFERROR(Table1[[#This Row],[30-7 stock lvl]]/Table1[[#This Row],[26-Aug]],0)</f>
        <v>7.5644387259800938</v>
      </c>
      <c r="P63" s="1" t="s">
        <v>823</v>
      </c>
    </row>
    <row r="64" spans="1:16" x14ac:dyDescent="0.25">
      <c r="A64" s="2">
        <v>200205010911</v>
      </c>
      <c r="B64" s="10" t="s">
        <v>644</v>
      </c>
      <c r="C64" s="6" t="s">
        <v>645</v>
      </c>
      <c r="E64" s="21" t="s">
        <v>128</v>
      </c>
      <c r="G64" s="1" t="s">
        <v>129</v>
      </c>
      <c r="H64" s="1">
        <v>0</v>
      </c>
      <c r="I64" s="1" t="s">
        <v>764</v>
      </c>
      <c r="J64" s="24">
        <v>45532</v>
      </c>
      <c r="K64" s="16">
        <v>43893.877499999981</v>
      </c>
      <c r="L64" s="19">
        <v>48344.634999999995</v>
      </c>
      <c r="M64" s="19">
        <v>49168.33</v>
      </c>
      <c r="N64" s="17">
        <v>369979.201</v>
      </c>
      <c r="O64" s="18">
        <f>IFERROR(Table1[[#This Row],[30-7 stock lvl]]/Table1[[#This Row],[26-Aug]],0)</f>
        <v>7.5247461323172864</v>
      </c>
      <c r="P64" s="1" t="s">
        <v>823</v>
      </c>
    </row>
    <row r="65" spans="1:16" x14ac:dyDescent="0.25">
      <c r="A65" s="2">
        <v>100302001022</v>
      </c>
      <c r="B65" s="10" t="s">
        <v>682</v>
      </c>
      <c r="C65" s="6" t="s">
        <v>97</v>
      </c>
      <c r="E65" s="21" t="s">
        <v>83</v>
      </c>
      <c r="F65" s="1" t="s">
        <v>29</v>
      </c>
      <c r="G65" s="1" t="s">
        <v>7</v>
      </c>
      <c r="H65" s="1">
        <v>0</v>
      </c>
      <c r="I65" s="1" t="s">
        <v>788</v>
      </c>
      <c r="J65" s="24">
        <v>43101</v>
      </c>
      <c r="K65" s="16">
        <v>87034.598099999988</v>
      </c>
      <c r="L65" s="19">
        <v>94208.485899999985</v>
      </c>
      <c r="M65" s="19">
        <v>85544.140299999999</v>
      </c>
      <c r="N65" s="17">
        <v>641966.42949999997</v>
      </c>
      <c r="O65" s="18">
        <f>IFERROR(Table1[[#This Row],[30-7 stock lvl]]/Table1[[#This Row],[26-Aug]],0)</f>
        <v>7.504505010496902</v>
      </c>
      <c r="P65" s="1" t="s">
        <v>823</v>
      </c>
    </row>
    <row r="66" spans="1:16" x14ac:dyDescent="0.25">
      <c r="A66" s="2">
        <v>200203010700</v>
      </c>
      <c r="B66" s="10" t="s">
        <v>453</v>
      </c>
      <c r="C66" s="6" t="s">
        <v>454</v>
      </c>
      <c r="E66" s="21" t="s">
        <v>83</v>
      </c>
      <c r="F66" s="1" t="s">
        <v>29</v>
      </c>
      <c r="G66" s="1" t="s">
        <v>7</v>
      </c>
      <c r="H66" s="1">
        <v>0</v>
      </c>
      <c r="I66" s="1" t="s">
        <v>767</v>
      </c>
      <c r="J66" s="24">
        <v>45314</v>
      </c>
      <c r="K66" s="16">
        <v>72550.637099999993</v>
      </c>
      <c r="L66" s="19">
        <v>69246.890000000029</v>
      </c>
      <c r="M66" s="19">
        <v>72601.941000000006</v>
      </c>
      <c r="N66" s="17">
        <v>541401.23499999999</v>
      </c>
      <c r="O66" s="18">
        <f>IFERROR(Table1[[#This Row],[30-7 stock lvl]]/Table1[[#This Row],[26-Aug]],0)</f>
        <v>7.4571179164479906</v>
      </c>
      <c r="P66" s="1" t="s">
        <v>824</v>
      </c>
    </row>
    <row r="67" spans="1:16" x14ac:dyDescent="0.25">
      <c r="A67" s="2">
        <v>200205010600</v>
      </c>
      <c r="B67" s="10" t="s">
        <v>617</v>
      </c>
      <c r="C67" s="6" t="s">
        <v>618</v>
      </c>
      <c r="E67" s="21" t="s">
        <v>210</v>
      </c>
      <c r="G67" s="1" t="s">
        <v>129</v>
      </c>
      <c r="H67" s="1">
        <v>0</v>
      </c>
      <c r="I67" s="1" t="s">
        <v>769</v>
      </c>
      <c r="J67" s="24">
        <v>45227</v>
      </c>
      <c r="K67" s="16">
        <v>37828.114000000001</v>
      </c>
      <c r="L67" s="19">
        <v>45943.08</v>
      </c>
      <c r="M67" s="19">
        <v>41842.160799999998</v>
      </c>
      <c r="N67" s="17">
        <v>311744.45</v>
      </c>
      <c r="O67" s="18">
        <f>IFERROR(Table1[[#This Row],[30-7 stock lvl]]/Table1[[#This Row],[26-Aug]],0)</f>
        <v>7.4504864003103783</v>
      </c>
      <c r="P67" s="1" t="s">
        <v>823</v>
      </c>
    </row>
    <row r="68" spans="1:16" x14ac:dyDescent="0.25">
      <c r="A68" s="2">
        <v>200201010919</v>
      </c>
      <c r="B68" s="10" t="s">
        <v>250</v>
      </c>
      <c r="C68" s="6" t="s">
        <v>251</v>
      </c>
      <c r="E68" s="21" t="s">
        <v>210</v>
      </c>
      <c r="G68" s="1" t="s">
        <v>129</v>
      </c>
      <c r="H68" s="1">
        <v>0</v>
      </c>
      <c r="I68" s="1" t="s">
        <v>782</v>
      </c>
      <c r="J68" s="24">
        <v>45119</v>
      </c>
      <c r="K68" s="16">
        <v>44868.291299999997</v>
      </c>
      <c r="L68" s="19">
        <v>36104.630000000005</v>
      </c>
      <c r="M68" s="19">
        <v>60243.244500000001</v>
      </c>
      <c r="N68" s="17">
        <v>448504.58</v>
      </c>
      <c r="O68" s="18">
        <f>IFERROR(Table1[[#This Row],[30-7 stock lvl]]/Table1[[#This Row],[26-Aug]],0)</f>
        <v>7.4448941739849355</v>
      </c>
      <c r="P68" s="1" t="s">
        <v>823</v>
      </c>
    </row>
    <row r="69" spans="1:16" x14ac:dyDescent="0.25">
      <c r="A69" s="2">
        <v>200202001027</v>
      </c>
      <c r="B69" s="10" t="s">
        <v>428</v>
      </c>
      <c r="C69" s="6" t="s">
        <v>429</v>
      </c>
      <c r="E69" s="21" t="s">
        <v>389</v>
      </c>
      <c r="G69" s="1" t="s">
        <v>7</v>
      </c>
      <c r="H69" s="1">
        <v>0</v>
      </c>
      <c r="I69" s="1" t="s">
        <v>765</v>
      </c>
      <c r="J69" s="24">
        <v>45629</v>
      </c>
      <c r="K69" s="16">
        <v>117983.8841</v>
      </c>
      <c r="L69" s="19">
        <v>111635.84500000002</v>
      </c>
      <c r="M69" s="19">
        <v>93930.318799999994</v>
      </c>
      <c r="N69" s="17">
        <v>690001.66</v>
      </c>
      <c r="O69" s="18">
        <f>IFERROR(Table1[[#This Row],[30-7 stock lvl]]/Table1[[#This Row],[26-Aug]],0)</f>
        <v>7.3458886205760443</v>
      </c>
      <c r="P69" s="1" t="s">
        <v>823</v>
      </c>
    </row>
    <row r="70" spans="1:16" x14ac:dyDescent="0.25">
      <c r="A70" s="2">
        <v>100202001015</v>
      </c>
      <c r="B70" s="10" t="s">
        <v>36</v>
      </c>
      <c r="C70" s="6" t="s">
        <v>37</v>
      </c>
      <c r="E70" s="21" t="s">
        <v>10</v>
      </c>
      <c r="G70" s="1" t="s">
        <v>7</v>
      </c>
      <c r="H70" s="1">
        <v>0</v>
      </c>
      <c r="I70" s="1" t="s">
        <v>782</v>
      </c>
      <c r="J70" s="24">
        <v>42370</v>
      </c>
      <c r="K70" s="16">
        <v>171822.21760000003</v>
      </c>
      <c r="L70" s="19">
        <v>180173.3947</v>
      </c>
      <c r="M70" s="19">
        <v>96226.409499999994</v>
      </c>
      <c r="N70" s="17">
        <v>704770.07750000001</v>
      </c>
      <c r="O70" s="18">
        <f>IFERROR(Table1[[#This Row],[30-7 stock lvl]]/Table1[[#This Row],[26-Aug]],0)</f>
        <v>7.3240816233510202</v>
      </c>
      <c r="P70" s="1" t="s">
        <v>823</v>
      </c>
    </row>
    <row r="71" spans="1:16" x14ac:dyDescent="0.25">
      <c r="A71" s="2">
        <v>200204030005</v>
      </c>
      <c r="B71" s="10" t="s">
        <v>518</v>
      </c>
      <c r="C71" s="6" t="s">
        <v>519</v>
      </c>
      <c r="E71" s="21" t="s">
        <v>511</v>
      </c>
      <c r="F71" s="1" t="s">
        <v>29</v>
      </c>
      <c r="G71" s="1" t="s">
        <v>7</v>
      </c>
      <c r="H71" s="1">
        <v>0</v>
      </c>
      <c r="I71" s="1" t="s">
        <v>783</v>
      </c>
      <c r="J71" s="24">
        <v>44409</v>
      </c>
      <c r="K71" s="16">
        <v>64802.263500000001</v>
      </c>
      <c r="L71" s="19">
        <v>69898.032149999999</v>
      </c>
      <c r="M71" s="19">
        <v>71644.475999999995</v>
      </c>
      <c r="N71" s="17">
        <v>523586.74534999998</v>
      </c>
      <c r="O71" s="18">
        <f>IFERROR(Table1[[#This Row],[30-7 stock lvl]]/Table1[[#This Row],[26-Aug]],0)</f>
        <v>7.3081244302770809</v>
      </c>
      <c r="P71" s="1" t="s">
        <v>823</v>
      </c>
    </row>
    <row r="72" spans="1:16" x14ac:dyDescent="0.25">
      <c r="A72" s="2">
        <v>200201030904</v>
      </c>
      <c r="B72" s="10" t="s">
        <v>365</v>
      </c>
      <c r="C72" s="6" t="s">
        <v>700</v>
      </c>
      <c r="E72" s="21" t="s">
        <v>79</v>
      </c>
      <c r="G72" s="1" t="s">
        <v>7</v>
      </c>
      <c r="H72" s="1">
        <v>0</v>
      </c>
      <c r="I72" s="1" t="s">
        <v>784</v>
      </c>
      <c r="J72" s="24">
        <v>46032</v>
      </c>
      <c r="K72" s="16">
        <v>84236.084099999993</v>
      </c>
      <c r="L72" s="19">
        <v>100672.60999999999</v>
      </c>
      <c r="M72" s="19">
        <v>101311.1289</v>
      </c>
      <c r="N72" s="17">
        <v>737864.51300000004</v>
      </c>
      <c r="O72" s="18">
        <f>IFERROR(Table1[[#This Row],[30-7 stock lvl]]/Table1[[#This Row],[26-Aug]],0)</f>
        <v>7.2831535983407649</v>
      </c>
      <c r="P72" s="1" t="s">
        <v>823</v>
      </c>
    </row>
    <row r="73" spans="1:16" x14ac:dyDescent="0.25">
      <c r="A73" s="2">
        <v>200202001019</v>
      </c>
      <c r="B73" s="10" t="s">
        <v>412</v>
      </c>
      <c r="C73" s="6" t="s">
        <v>413</v>
      </c>
      <c r="E73" s="21" t="s">
        <v>389</v>
      </c>
      <c r="F73" s="1" t="s">
        <v>29</v>
      </c>
      <c r="G73" s="1" t="s">
        <v>7</v>
      </c>
      <c r="H73" s="1">
        <v>0</v>
      </c>
      <c r="I73" s="1" t="s">
        <v>765</v>
      </c>
      <c r="J73" s="24">
        <v>45284</v>
      </c>
      <c r="K73" s="16">
        <v>77141.233200000017</v>
      </c>
      <c r="L73" s="19">
        <v>106532.28000000001</v>
      </c>
      <c r="M73" s="19">
        <v>75804.374100000001</v>
      </c>
      <c r="N73" s="17">
        <v>546589.11349999998</v>
      </c>
      <c r="O73" s="18">
        <f>IFERROR(Table1[[#This Row],[30-7 stock lvl]]/Table1[[#This Row],[26-Aug]],0)</f>
        <v>7.2105220838437072</v>
      </c>
      <c r="P73" s="1" t="s">
        <v>823</v>
      </c>
    </row>
    <row r="74" spans="1:16" x14ac:dyDescent="0.25">
      <c r="A74" s="2">
        <v>200204030013</v>
      </c>
      <c r="B74" s="10" t="s">
        <v>531</v>
      </c>
      <c r="C74" s="6" t="s">
        <v>532</v>
      </c>
      <c r="E74" s="21" t="s">
        <v>511</v>
      </c>
      <c r="F74" s="1" t="s">
        <v>29</v>
      </c>
      <c r="G74" s="1" t="s">
        <v>7</v>
      </c>
      <c r="H74" s="1">
        <v>0</v>
      </c>
      <c r="I74" s="1" t="s">
        <v>783</v>
      </c>
      <c r="J74" s="24">
        <v>45060</v>
      </c>
      <c r="K74" s="16">
        <v>107725.27169999998</v>
      </c>
      <c r="L74" s="19">
        <v>127592.22999999998</v>
      </c>
      <c r="M74" s="19">
        <v>107432.9201</v>
      </c>
      <c r="N74" s="17">
        <v>774436.79799999995</v>
      </c>
      <c r="O74" s="18">
        <f>IFERROR(Table1[[#This Row],[30-7 stock lvl]]/Table1[[#This Row],[26-Aug]],0)</f>
        <v>7.2085613728002906</v>
      </c>
      <c r="P74" s="1" t="s">
        <v>823</v>
      </c>
    </row>
    <row r="75" spans="1:16" x14ac:dyDescent="0.25">
      <c r="A75" s="2">
        <v>200204030039</v>
      </c>
      <c r="B75" s="10" t="s">
        <v>578</v>
      </c>
      <c r="C75" s="6" t="s">
        <v>579</v>
      </c>
      <c r="E75" s="21" t="s">
        <v>491</v>
      </c>
      <c r="G75" s="1" t="s">
        <v>7</v>
      </c>
      <c r="H75" s="1">
        <v>0</v>
      </c>
      <c r="I75" s="1" t="s">
        <v>785</v>
      </c>
      <c r="J75" s="24">
        <v>45796</v>
      </c>
      <c r="K75" s="16">
        <v>80897.386599999998</v>
      </c>
      <c r="L75" s="19">
        <v>95409.479999999981</v>
      </c>
      <c r="M75" s="19">
        <v>94074.260500000004</v>
      </c>
      <c r="N75" s="17">
        <v>670966.84750000003</v>
      </c>
      <c r="O75" s="18">
        <f>IFERROR(Table1[[#This Row],[30-7 stock lvl]]/Table1[[#This Row],[26-Aug]],0)</f>
        <v>7.1323106228403468</v>
      </c>
      <c r="P75" s="1" t="s">
        <v>823</v>
      </c>
    </row>
    <row r="76" spans="1:16" x14ac:dyDescent="0.25">
      <c r="A76" s="2">
        <v>200205010913</v>
      </c>
      <c r="B76" s="10" t="s">
        <v>648</v>
      </c>
      <c r="C76" s="6" t="s">
        <v>649</v>
      </c>
      <c r="E76" s="21" t="s">
        <v>245</v>
      </c>
      <c r="F76" s="1" t="s">
        <v>29</v>
      </c>
      <c r="G76" s="1" t="s">
        <v>7</v>
      </c>
      <c r="H76" s="1">
        <v>0</v>
      </c>
      <c r="I76" s="1" t="s">
        <v>771</v>
      </c>
      <c r="J76" s="24">
        <v>45775</v>
      </c>
      <c r="K76" s="16">
        <v>69745.861099999995</v>
      </c>
      <c r="L76" s="19">
        <v>78899.060000000012</v>
      </c>
      <c r="M76" s="19">
        <v>85473.7166</v>
      </c>
      <c r="N76" s="17">
        <v>603739.78150000004</v>
      </c>
      <c r="O76" s="18">
        <f>IFERROR(Table1[[#This Row],[30-7 stock lvl]]/Table1[[#This Row],[26-Aug]],0)</f>
        <v>7.0634553581586044</v>
      </c>
      <c r="P76" s="1" t="s">
        <v>823</v>
      </c>
    </row>
    <row r="77" spans="1:16" x14ac:dyDescent="0.25">
      <c r="A77" s="2">
        <v>101202001014</v>
      </c>
      <c r="B77" s="10" t="s">
        <v>181</v>
      </c>
      <c r="C77" s="6" t="s">
        <v>182</v>
      </c>
      <c r="E77" s="21" t="s">
        <v>158</v>
      </c>
      <c r="G77" s="1" t="s">
        <v>7</v>
      </c>
      <c r="H77" s="1">
        <v>0</v>
      </c>
      <c r="I77" s="1" t="s">
        <v>763</v>
      </c>
      <c r="J77" s="24">
        <v>46015</v>
      </c>
      <c r="K77" s="16">
        <v>80732.711899999995</v>
      </c>
      <c r="L77" s="19">
        <v>115101.88850000002</v>
      </c>
      <c r="M77" s="19">
        <v>92751.603099999993</v>
      </c>
      <c r="N77" s="17">
        <v>653726.25</v>
      </c>
      <c r="O77" s="18">
        <f>IFERROR(Table1[[#This Row],[30-7 stock lvl]]/Table1[[#This Row],[26-Aug]],0)</f>
        <v>7.0481396347962431</v>
      </c>
      <c r="P77" s="1" t="s">
        <v>823</v>
      </c>
    </row>
    <row r="78" spans="1:16" x14ac:dyDescent="0.25">
      <c r="A78" s="2">
        <v>200201010907</v>
      </c>
      <c r="B78" s="10" t="s">
        <v>229</v>
      </c>
      <c r="C78" s="6" t="s">
        <v>230</v>
      </c>
      <c r="E78" s="21" t="s">
        <v>210</v>
      </c>
      <c r="G78" s="1" t="s">
        <v>129</v>
      </c>
      <c r="H78" s="1">
        <v>0</v>
      </c>
      <c r="I78" s="1" t="s">
        <v>782</v>
      </c>
      <c r="J78" s="24">
        <v>44956</v>
      </c>
      <c r="K78" s="16">
        <v>144941.5177</v>
      </c>
      <c r="L78" s="19">
        <v>118052.38500000001</v>
      </c>
      <c r="M78" s="19">
        <v>107069.08779999999</v>
      </c>
      <c r="N78" s="17">
        <v>747838.41500000004</v>
      </c>
      <c r="O78" s="18">
        <f>IFERROR(Table1[[#This Row],[30-7 stock lvl]]/Table1[[#This Row],[26-Aug]],0)</f>
        <v>6.9846342241836128</v>
      </c>
      <c r="P78" s="1" t="s">
        <v>823</v>
      </c>
    </row>
    <row r="79" spans="1:16" x14ac:dyDescent="0.25">
      <c r="A79" s="2">
        <v>200204030010</v>
      </c>
      <c r="B79" s="10" t="s">
        <v>728</v>
      </c>
      <c r="C79" s="6" t="s">
        <v>528</v>
      </c>
      <c r="E79" s="21" t="s">
        <v>511</v>
      </c>
      <c r="G79" s="1" t="s">
        <v>7</v>
      </c>
      <c r="H79" s="1">
        <v>0</v>
      </c>
      <c r="I79" s="1" t="s">
        <v>783</v>
      </c>
      <c r="J79" s="24">
        <v>44770</v>
      </c>
      <c r="K79" s="16">
        <v>99196.173800000004</v>
      </c>
      <c r="L79" s="19">
        <v>105257.78000000003</v>
      </c>
      <c r="M79" s="19">
        <v>95314.206900000005</v>
      </c>
      <c r="N79" s="17">
        <v>663505.50100000005</v>
      </c>
      <c r="O79" s="18">
        <f>IFERROR(Table1[[#This Row],[30-7 stock lvl]]/Table1[[#This Row],[26-Aug]],0)</f>
        <v>6.9612445256573814</v>
      </c>
      <c r="P79" s="1" t="s">
        <v>824</v>
      </c>
    </row>
    <row r="80" spans="1:16" x14ac:dyDescent="0.25">
      <c r="A80" s="2">
        <v>200204030002</v>
      </c>
      <c r="B80" s="10" t="s">
        <v>512</v>
      </c>
      <c r="C80" s="6" t="s">
        <v>513</v>
      </c>
      <c r="E80" s="21" t="s">
        <v>511</v>
      </c>
      <c r="G80" s="1" t="s">
        <v>7</v>
      </c>
      <c r="H80" s="1">
        <v>0</v>
      </c>
      <c r="I80" s="1" t="s">
        <v>783</v>
      </c>
      <c r="J80" s="24">
        <v>44418</v>
      </c>
      <c r="K80" s="16">
        <v>85449.199700000012</v>
      </c>
      <c r="L80" s="19">
        <v>103498.37999999999</v>
      </c>
      <c r="M80" s="19">
        <v>92507.533200000005</v>
      </c>
      <c r="N80" s="17">
        <v>636590.84550000005</v>
      </c>
      <c r="O80" s="18">
        <f>IFERROR(Table1[[#This Row],[30-7 stock lvl]]/Table1[[#This Row],[26-Aug]],0)</f>
        <v>6.8815027650094125</v>
      </c>
      <c r="P80" s="1" t="s">
        <v>823</v>
      </c>
    </row>
    <row r="81" spans="1:16" x14ac:dyDescent="0.25">
      <c r="A81" s="2">
        <v>200205010100</v>
      </c>
      <c r="B81" s="10" t="s">
        <v>608</v>
      </c>
      <c r="C81" s="6" t="s">
        <v>609</v>
      </c>
      <c r="E81" s="21" t="s">
        <v>245</v>
      </c>
      <c r="F81" s="1" t="s">
        <v>29</v>
      </c>
      <c r="G81" s="1" t="s">
        <v>7</v>
      </c>
      <c r="H81" s="1">
        <v>0</v>
      </c>
      <c r="I81" s="1" t="s">
        <v>764</v>
      </c>
      <c r="J81" s="24">
        <v>45205</v>
      </c>
      <c r="K81" s="16">
        <v>63733.445299999985</v>
      </c>
      <c r="L81" s="19">
        <v>78477.919999999984</v>
      </c>
      <c r="M81" s="19">
        <v>71943.561499999996</v>
      </c>
      <c r="N81" s="17">
        <v>493262.85950000002</v>
      </c>
      <c r="O81" s="18">
        <f>IFERROR(Table1[[#This Row],[30-7 stock lvl]]/Table1[[#This Row],[26-Aug]],0)</f>
        <v>6.85624744196185</v>
      </c>
      <c r="P81" s="1" t="s">
        <v>824</v>
      </c>
    </row>
    <row r="82" spans="1:16" x14ac:dyDescent="0.25">
      <c r="A82" s="2">
        <v>200205010919</v>
      </c>
      <c r="B82" s="10" t="s">
        <v>660</v>
      </c>
      <c r="C82" s="6" t="s">
        <v>661</v>
      </c>
      <c r="E82" s="21" t="s">
        <v>245</v>
      </c>
      <c r="G82" s="1" t="s">
        <v>7</v>
      </c>
      <c r="H82" s="1">
        <v>0</v>
      </c>
      <c r="I82" s="1" t="s">
        <v>764</v>
      </c>
      <c r="J82" s="24">
        <v>45910</v>
      </c>
      <c r="K82" s="16">
        <v>74965.636299999998</v>
      </c>
      <c r="L82" s="19">
        <v>105893.2715</v>
      </c>
      <c r="M82" s="19">
        <v>115254.7591</v>
      </c>
      <c r="N82" s="17">
        <v>785599.51549999998</v>
      </c>
      <c r="O82" s="18">
        <f>IFERROR(Table1[[#This Row],[30-7 stock lvl]]/Table1[[#This Row],[26-Aug]],0)</f>
        <v>6.8162002301213436</v>
      </c>
      <c r="P82" s="1" t="s">
        <v>823</v>
      </c>
    </row>
    <row r="83" spans="1:16" x14ac:dyDescent="0.25">
      <c r="A83" s="2">
        <v>200202001022</v>
      </c>
      <c r="B83" s="10" t="s">
        <v>418</v>
      </c>
      <c r="C83" s="6" t="s">
        <v>419</v>
      </c>
      <c r="E83" s="21" t="s">
        <v>389</v>
      </c>
      <c r="F83" s="1" t="s">
        <v>29</v>
      </c>
      <c r="G83" s="1" t="s">
        <v>7</v>
      </c>
      <c r="H83" s="1">
        <v>0</v>
      </c>
      <c r="I83" s="1" t="s">
        <v>766</v>
      </c>
      <c r="J83" s="24">
        <v>45357</v>
      </c>
      <c r="K83" s="16">
        <v>77993.491699999984</v>
      </c>
      <c r="L83" s="19">
        <v>110742.95479999998</v>
      </c>
      <c r="M83" s="19">
        <v>79779.809099999999</v>
      </c>
      <c r="N83" s="17">
        <v>539355.72</v>
      </c>
      <c r="O83" s="18">
        <f>IFERROR(Table1[[#This Row],[30-7 stock lvl]]/Table1[[#This Row],[26-Aug]],0)</f>
        <v>6.7605541563021863</v>
      </c>
      <c r="P83" s="1" t="s">
        <v>824</v>
      </c>
    </row>
    <row r="84" spans="1:16" x14ac:dyDescent="0.25">
      <c r="A84" s="2">
        <v>200201030500</v>
      </c>
      <c r="B84" s="10" t="s">
        <v>356</v>
      </c>
      <c r="C84" s="6" t="s">
        <v>357</v>
      </c>
      <c r="E84" s="21" t="s">
        <v>128</v>
      </c>
      <c r="G84" s="1" t="s">
        <v>129</v>
      </c>
      <c r="H84" s="1">
        <v>0</v>
      </c>
      <c r="I84" s="1" t="s">
        <v>784</v>
      </c>
      <c r="J84" s="24">
        <v>45007</v>
      </c>
      <c r="K84" s="16">
        <v>27873.191799999997</v>
      </c>
      <c r="L84" s="19">
        <v>32187.785250000001</v>
      </c>
      <c r="M84" s="19">
        <v>38401.379800000002</v>
      </c>
      <c r="N84" s="17">
        <v>257715.38225</v>
      </c>
      <c r="O84" s="18">
        <f>IFERROR(Table1[[#This Row],[30-7 stock lvl]]/Table1[[#This Row],[26-Aug]],0)</f>
        <v>6.7110969343346349</v>
      </c>
      <c r="P84" s="1" t="s">
        <v>823</v>
      </c>
    </row>
    <row r="85" spans="1:16" x14ac:dyDescent="0.25">
      <c r="A85" s="2">
        <v>200201040300</v>
      </c>
      <c r="B85" s="10" t="s">
        <v>369</v>
      </c>
      <c r="C85" s="6" t="s">
        <v>703</v>
      </c>
      <c r="E85" s="21" t="s">
        <v>79</v>
      </c>
      <c r="G85" s="1" t="s">
        <v>7</v>
      </c>
      <c r="H85" s="1">
        <v>0</v>
      </c>
      <c r="I85" s="1" t="s">
        <v>784</v>
      </c>
      <c r="J85" s="24">
        <v>46061</v>
      </c>
      <c r="K85" s="16">
        <v>88351.42349999999</v>
      </c>
      <c r="L85" s="19">
        <v>114171.47149999997</v>
      </c>
      <c r="M85" s="19">
        <v>106282.7074</v>
      </c>
      <c r="N85" s="17">
        <v>710945.34</v>
      </c>
      <c r="O85" s="18">
        <f>IFERROR(Table1[[#This Row],[30-7 stock lvl]]/Table1[[#This Row],[26-Aug]],0)</f>
        <v>6.6891910960107888</v>
      </c>
      <c r="P85" s="1" t="s">
        <v>823</v>
      </c>
    </row>
    <row r="86" spans="1:16" x14ac:dyDescent="0.25">
      <c r="A86" s="2">
        <v>200202001015</v>
      </c>
      <c r="B86" s="10" t="s">
        <v>404</v>
      </c>
      <c r="C86" s="6" t="s">
        <v>405</v>
      </c>
      <c r="E86" s="21" t="s">
        <v>389</v>
      </c>
      <c r="F86" s="1" t="s">
        <v>29</v>
      </c>
      <c r="G86" s="1" t="s">
        <v>7</v>
      </c>
      <c r="H86" s="1">
        <v>0</v>
      </c>
      <c r="I86" s="1" t="s">
        <v>765</v>
      </c>
      <c r="J86" s="24">
        <v>45154</v>
      </c>
      <c r="K86" s="16">
        <v>63339.170099999988</v>
      </c>
      <c r="L86" s="19">
        <v>65427.08</v>
      </c>
      <c r="M86" s="19">
        <v>75470.820000000007</v>
      </c>
      <c r="N86" s="17">
        <v>500391.87800000003</v>
      </c>
      <c r="O86" s="18">
        <f>IFERROR(Table1[[#This Row],[30-7 stock lvl]]/Table1[[#This Row],[26-Aug]],0)</f>
        <v>6.630269526685943</v>
      </c>
      <c r="P86" s="1" t="s">
        <v>823</v>
      </c>
    </row>
    <row r="87" spans="1:16" x14ac:dyDescent="0.25">
      <c r="A87" s="2">
        <v>102002001002</v>
      </c>
      <c r="B87" s="10" t="s">
        <v>187</v>
      </c>
      <c r="C87" s="6" t="s">
        <v>188</v>
      </c>
      <c r="E87" s="21" t="s">
        <v>150</v>
      </c>
      <c r="G87" s="1" t="s">
        <v>129</v>
      </c>
      <c r="H87" s="1">
        <v>0</v>
      </c>
      <c r="I87" s="1" t="s">
        <v>782</v>
      </c>
      <c r="J87" s="24">
        <v>44440</v>
      </c>
      <c r="K87" s="16">
        <v>108297.29080000002</v>
      </c>
      <c r="L87" s="19">
        <v>142875.22</v>
      </c>
      <c r="M87" s="19">
        <v>99031.455000000002</v>
      </c>
      <c r="N87" s="17">
        <v>651213.52749999997</v>
      </c>
      <c r="O87" s="18">
        <f>IFERROR(Table1[[#This Row],[30-7 stock lvl]]/Table1[[#This Row],[26-Aug]],0)</f>
        <v>6.5758251002168953</v>
      </c>
      <c r="P87" s="1" t="s">
        <v>823</v>
      </c>
    </row>
    <row r="88" spans="1:16" x14ac:dyDescent="0.25">
      <c r="A88" s="2">
        <v>200204030040</v>
      </c>
      <c r="B88" s="10" t="s">
        <v>580</v>
      </c>
      <c r="C88" s="6" t="s">
        <v>581</v>
      </c>
      <c r="E88" s="21" t="s">
        <v>491</v>
      </c>
      <c r="G88" s="1" t="s">
        <v>7</v>
      </c>
      <c r="H88" s="1">
        <v>0</v>
      </c>
      <c r="I88" s="1" t="s">
        <v>785</v>
      </c>
      <c r="J88" s="24">
        <v>45803</v>
      </c>
      <c r="K88" s="16">
        <v>86871.498399999982</v>
      </c>
      <c r="L88" s="19">
        <v>93239.890000000014</v>
      </c>
      <c r="M88" s="19">
        <v>104647.039</v>
      </c>
      <c r="N88" s="17">
        <v>687322.32</v>
      </c>
      <c r="O88" s="18">
        <f>IFERROR(Table1[[#This Row],[30-7 stock lvl]]/Table1[[#This Row],[26-Aug]],0)</f>
        <v>6.568005426316935</v>
      </c>
      <c r="P88" s="1" t="s">
        <v>823</v>
      </c>
    </row>
    <row r="89" spans="1:16" x14ac:dyDescent="0.25">
      <c r="A89" s="2">
        <v>200205010922</v>
      </c>
      <c r="B89" s="10" t="s">
        <v>665</v>
      </c>
      <c r="C89" s="6" t="s">
        <v>749</v>
      </c>
      <c r="E89" s="21" t="s">
        <v>245</v>
      </c>
      <c r="G89" s="1" t="s">
        <v>7</v>
      </c>
      <c r="H89" s="1">
        <v>0</v>
      </c>
      <c r="I89" s="1" t="s">
        <v>769</v>
      </c>
      <c r="J89" s="24">
        <v>45948</v>
      </c>
      <c r="K89" s="16">
        <v>88335.903000000006</v>
      </c>
      <c r="L89" s="19">
        <v>97983.472499999974</v>
      </c>
      <c r="M89" s="19">
        <v>102960.4571</v>
      </c>
      <c r="N89" s="17">
        <v>674781.54</v>
      </c>
      <c r="O89" s="18">
        <f>IFERROR(Table1[[#This Row],[30-7 stock lvl]]/Table1[[#This Row],[26-Aug]],0)</f>
        <v>6.5537931649295293</v>
      </c>
      <c r="P89" s="1" t="s">
        <v>823</v>
      </c>
    </row>
    <row r="90" spans="1:16" x14ac:dyDescent="0.25">
      <c r="A90" s="2">
        <v>200205010912</v>
      </c>
      <c r="B90" s="10" t="s">
        <v>646</v>
      </c>
      <c r="C90" s="6" t="s">
        <v>647</v>
      </c>
      <c r="E90" s="21" t="s">
        <v>245</v>
      </c>
      <c r="F90" s="1" t="s">
        <v>29</v>
      </c>
      <c r="G90" s="1" t="s">
        <v>7</v>
      </c>
      <c r="H90" s="1">
        <v>0</v>
      </c>
      <c r="I90" s="1" t="s">
        <v>771</v>
      </c>
      <c r="J90" s="24">
        <v>45669</v>
      </c>
      <c r="K90" s="16">
        <v>65302.739900000008</v>
      </c>
      <c r="L90" s="19">
        <v>80302.229999999967</v>
      </c>
      <c r="M90" s="19">
        <v>79010.630499999999</v>
      </c>
      <c r="N90" s="17">
        <v>515784.72499999998</v>
      </c>
      <c r="O90" s="18">
        <f>IFERROR(Table1[[#This Row],[30-7 stock lvl]]/Table1[[#This Row],[26-Aug]],0)</f>
        <v>6.5280421347859008</v>
      </c>
      <c r="P90" s="1" t="s">
        <v>823</v>
      </c>
    </row>
    <row r="91" spans="1:16" x14ac:dyDescent="0.25">
      <c r="A91" s="2">
        <v>200202001016</v>
      </c>
      <c r="B91" s="10" t="s">
        <v>406</v>
      </c>
      <c r="C91" s="6" t="s">
        <v>407</v>
      </c>
      <c r="E91" s="21" t="s">
        <v>389</v>
      </c>
      <c r="G91" s="1" t="s">
        <v>7</v>
      </c>
      <c r="H91" s="1">
        <v>0</v>
      </c>
      <c r="I91" s="1" t="s">
        <v>787</v>
      </c>
      <c r="J91" s="24">
        <v>45275</v>
      </c>
      <c r="K91" s="16">
        <v>86013.341200000024</v>
      </c>
      <c r="L91" s="19">
        <v>96213.63999999997</v>
      </c>
      <c r="M91" s="19">
        <v>101090.18090000001</v>
      </c>
      <c r="N91" s="17">
        <v>652702.13650000002</v>
      </c>
      <c r="O91" s="18">
        <f>IFERROR(Table1[[#This Row],[30-7 stock lvl]]/Table1[[#This Row],[26-Aug]],0)</f>
        <v>6.4566323918805058</v>
      </c>
      <c r="P91" s="1" t="s">
        <v>824</v>
      </c>
    </row>
    <row r="92" spans="1:16" x14ac:dyDescent="0.25">
      <c r="A92" s="2">
        <v>200201010955</v>
      </c>
      <c r="B92" s="10" t="s">
        <v>314</v>
      </c>
      <c r="C92" s="6" t="s">
        <v>690</v>
      </c>
      <c r="E92" s="21" t="s">
        <v>28</v>
      </c>
      <c r="F92" s="1" t="s">
        <v>29</v>
      </c>
      <c r="G92" s="1" t="s">
        <v>7</v>
      </c>
      <c r="H92" s="1">
        <v>0</v>
      </c>
      <c r="I92" s="1" t="s">
        <v>782</v>
      </c>
      <c r="J92" s="24">
        <v>45668</v>
      </c>
      <c r="K92" s="16">
        <v>125461.4506</v>
      </c>
      <c r="L92" s="19">
        <v>117902.85520000002</v>
      </c>
      <c r="M92" s="19">
        <v>97755.630300000004</v>
      </c>
      <c r="N92" s="17">
        <v>628236.13</v>
      </c>
      <c r="O92" s="18">
        <f>IFERROR(Table1[[#This Row],[30-7 stock lvl]]/Table1[[#This Row],[26-Aug]],0)</f>
        <v>6.4265979163759734</v>
      </c>
      <c r="P92" s="1" t="s">
        <v>824</v>
      </c>
    </row>
    <row r="93" spans="1:16" x14ac:dyDescent="0.25">
      <c r="A93" s="2">
        <v>200204030055</v>
      </c>
      <c r="B93" s="10" t="s">
        <v>602</v>
      </c>
      <c r="C93" s="6" t="s">
        <v>603</v>
      </c>
      <c r="E93" s="21" t="s">
        <v>491</v>
      </c>
      <c r="G93" s="1" t="s">
        <v>7</v>
      </c>
      <c r="H93" s="1">
        <v>0</v>
      </c>
      <c r="I93" s="1" t="s">
        <v>785</v>
      </c>
      <c r="J93" s="24">
        <v>46064</v>
      </c>
      <c r="K93" s="16">
        <v>44351.0959</v>
      </c>
      <c r="L93" s="19">
        <v>110056.81999999999</v>
      </c>
      <c r="M93" s="19">
        <v>109133.7398</v>
      </c>
      <c r="N93" s="17">
        <v>699587.78200000001</v>
      </c>
      <c r="O93" s="18">
        <f>IFERROR(Table1[[#This Row],[30-7 stock lvl]]/Table1[[#This Row],[26-Aug]],0)</f>
        <v>6.4103711948483966</v>
      </c>
      <c r="P93" s="1" t="s">
        <v>823</v>
      </c>
    </row>
    <row r="94" spans="1:16" x14ac:dyDescent="0.25">
      <c r="A94" s="2">
        <v>200205010921</v>
      </c>
      <c r="B94" s="10" t="s">
        <v>664</v>
      </c>
      <c r="C94" s="6" t="s">
        <v>748</v>
      </c>
      <c r="E94" s="21" t="s">
        <v>245</v>
      </c>
      <c r="G94" s="1" t="s">
        <v>7</v>
      </c>
      <c r="H94" s="1">
        <v>0</v>
      </c>
      <c r="I94" s="1" t="s">
        <v>769</v>
      </c>
      <c r="J94" s="24">
        <v>46012</v>
      </c>
      <c r="K94" s="16">
        <v>79558.218899999978</v>
      </c>
      <c r="L94" s="19">
        <v>107835.39749999996</v>
      </c>
      <c r="M94" s="19">
        <v>114977.126</v>
      </c>
      <c r="N94" s="17">
        <v>736274.55500000005</v>
      </c>
      <c r="O94" s="18">
        <f>IFERROR(Table1[[#This Row],[30-7 stock lvl]]/Table1[[#This Row],[26-Aug]],0)</f>
        <v>6.4036611508275136</v>
      </c>
      <c r="P94" s="1" t="s">
        <v>823</v>
      </c>
    </row>
    <row r="95" spans="1:16" x14ac:dyDescent="0.25">
      <c r="A95" s="2">
        <v>200205010908</v>
      </c>
      <c r="B95" s="10" t="s">
        <v>747</v>
      </c>
      <c r="C95" s="6" t="s">
        <v>639</v>
      </c>
      <c r="E95" s="21" t="s">
        <v>245</v>
      </c>
      <c r="F95" s="1" t="s">
        <v>29</v>
      </c>
      <c r="G95" s="1" t="s">
        <v>7</v>
      </c>
      <c r="H95" s="1">
        <v>0</v>
      </c>
      <c r="I95" s="1" t="s">
        <v>771</v>
      </c>
      <c r="J95" s="24">
        <v>45470</v>
      </c>
      <c r="K95" s="16">
        <v>70499.310700000031</v>
      </c>
      <c r="L95" s="19">
        <v>68439.81</v>
      </c>
      <c r="M95" s="19">
        <v>81176.688200000004</v>
      </c>
      <c r="N95" s="17">
        <v>518510.39</v>
      </c>
      <c r="O95" s="18">
        <f>IFERROR(Table1[[#This Row],[30-7 stock lvl]]/Table1[[#This Row],[26-Aug]],0)</f>
        <v>6.3874297103931372</v>
      </c>
      <c r="P95" s="1" t="s">
        <v>823</v>
      </c>
    </row>
    <row r="96" spans="1:16" x14ac:dyDescent="0.25">
      <c r="A96" s="2">
        <v>200203010804</v>
      </c>
      <c r="B96" s="10" t="s">
        <v>461</v>
      </c>
      <c r="C96" s="6" t="s">
        <v>462</v>
      </c>
      <c r="E96" s="21" t="s">
        <v>83</v>
      </c>
      <c r="F96" s="1" t="s">
        <v>29</v>
      </c>
      <c r="G96" s="1" t="s">
        <v>7</v>
      </c>
      <c r="H96" s="1">
        <v>0</v>
      </c>
      <c r="I96" s="1" t="s">
        <v>767</v>
      </c>
      <c r="J96" s="24">
        <v>45349</v>
      </c>
      <c r="K96" s="16">
        <v>88773.694699999993</v>
      </c>
      <c r="L96" s="19">
        <v>92206.781699999992</v>
      </c>
      <c r="M96" s="19">
        <v>85655.505000000005</v>
      </c>
      <c r="N96" s="17">
        <v>545463.39249999996</v>
      </c>
      <c r="O96" s="18">
        <f>IFERROR(Table1[[#This Row],[30-7 stock lvl]]/Table1[[#This Row],[26-Aug]],0)</f>
        <v>6.3681066675165816</v>
      </c>
      <c r="P96" s="1" t="s">
        <v>823</v>
      </c>
    </row>
    <row r="97" spans="1:16" x14ac:dyDescent="0.25">
      <c r="A97" s="2">
        <v>200201010935</v>
      </c>
      <c r="B97" s="10" t="s">
        <v>274</v>
      </c>
      <c r="C97" s="6" t="s">
        <v>275</v>
      </c>
      <c r="E97" s="21" t="s">
        <v>13</v>
      </c>
      <c r="F97" s="1" t="s">
        <v>29</v>
      </c>
      <c r="G97" s="1" t="s">
        <v>7</v>
      </c>
      <c r="H97" s="1">
        <v>0</v>
      </c>
      <c r="I97" s="1" t="s">
        <v>782</v>
      </c>
      <c r="J97" s="24">
        <v>45368</v>
      </c>
      <c r="K97" s="16">
        <v>77246.962999999989</v>
      </c>
      <c r="L97" s="19">
        <v>88239.339999999982</v>
      </c>
      <c r="M97" s="19">
        <v>80656.764899999995</v>
      </c>
      <c r="N97" s="17">
        <v>507180.28100000002</v>
      </c>
      <c r="O97" s="18">
        <f>IFERROR(Table1[[#This Row],[30-7 stock lvl]]/Table1[[#This Row],[26-Aug]],0)</f>
        <v>6.2881307182207609</v>
      </c>
      <c r="P97" s="1" t="s">
        <v>823</v>
      </c>
    </row>
    <row r="98" spans="1:16" x14ac:dyDescent="0.25">
      <c r="A98" s="2">
        <v>200203010814</v>
      </c>
      <c r="B98" s="10" t="s">
        <v>479</v>
      </c>
      <c r="C98" s="6" t="s">
        <v>480</v>
      </c>
      <c r="E98" s="21" t="s">
        <v>83</v>
      </c>
      <c r="G98" s="1" t="s">
        <v>7</v>
      </c>
      <c r="H98" s="1">
        <v>0</v>
      </c>
      <c r="I98" s="1" t="s">
        <v>767</v>
      </c>
      <c r="J98" s="24">
        <v>46008</v>
      </c>
      <c r="K98" s="16">
        <v>119050.8927</v>
      </c>
      <c r="L98" s="19">
        <v>148535.13999999996</v>
      </c>
      <c r="M98" s="19">
        <v>121868.93489999999</v>
      </c>
      <c r="N98" s="17">
        <v>762498.46</v>
      </c>
      <c r="O98" s="18">
        <f>IFERROR(Table1[[#This Row],[30-7 stock lvl]]/Table1[[#This Row],[26-Aug]],0)</f>
        <v>6.2567089851541811</v>
      </c>
      <c r="P98" s="1" t="s">
        <v>823</v>
      </c>
    </row>
    <row r="99" spans="1:16" x14ac:dyDescent="0.25">
      <c r="A99" s="2">
        <v>200201010934</v>
      </c>
      <c r="B99" s="10" t="s">
        <v>272</v>
      </c>
      <c r="C99" s="6" t="s">
        <v>273</v>
      </c>
      <c r="E99" s="21" t="s">
        <v>28</v>
      </c>
      <c r="G99" s="1" t="s">
        <v>7</v>
      </c>
      <c r="H99" s="1">
        <v>0</v>
      </c>
      <c r="I99" s="1" t="s">
        <v>791</v>
      </c>
      <c r="J99" s="24">
        <v>45361</v>
      </c>
      <c r="K99" s="16">
        <v>83113.837000000014</v>
      </c>
      <c r="L99" s="19">
        <v>74334.14</v>
      </c>
      <c r="M99" s="19">
        <v>103575.3129</v>
      </c>
      <c r="N99" s="17">
        <v>647410.76199999999</v>
      </c>
      <c r="O99" s="18">
        <f>IFERROR(Table1[[#This Row],[30-7 stock lvl]]/Table1[[#This Row],[26-Aug]],0)</f>
        <v>6.2506281069608045</v>
      </c>
      <c r="P99" s="1" t="s">
        <v>824</v>
      </c>
    </row>
    <row r="100" spans="1:16" x14ac:dyDescent="0.25">
      <c r="A100" s="2">
        <v>200204030043</v>
      </c>
      <c r="B100" s="10" t="s">
        <v>734</v>
      </c>
      <c r="C100" s="6" t="s">
        <v>586</v>
      </c>
      <c r="E100" s="21" t="s">
        <v>511</v>
      </c>
      <c r="G100" s="1" t="s">
        <v>7</v>
      </c>
      <c r="H100" s="1">
        <v>0</v>
      </c>
      <c r="I100" s="1" t="s">
        <v>783</v>
      </c>
      <c r="J100" s="24">
        <v>45804</v>
      </c>
      <c r="K100" s="16">
        <v>79138.559500000018</v>
      </c>
      <c r="L100" s="19">
        <v>100609.09999999998</v>
      </c>
      <c r="M100" s="19">
        <v>105786.48149999999</v>
      </c>
      <c r="N100" s="17">
        <v>657271.39</v>
      </c>
      <c r="O100" s="18">
        <f>IFERROR(Table1[[#This Row],[30-7 stock lvl]]/Table1[[#This Row],[26-Aug]],0)</f>
        <v>6.2131888751777797</v>
      </c>
      <c r="P100" s="1" t="s">
        <v>823</v>
      </c>
    </row>
    <row r="101" spans="1:16" x14ac:dyDescent="0.25">
      <c r="A101" s="2">
        <v>200203010400</v>
      </c>
      <c r="B101" s="10" t="s">
        <v>447</v>
      </c>
      <c r="C101" s="6" t="s">
        <v>448</v>
      </c>
      <c r="E101" s="21" t="s">
        <v>83</v>
      </c>
      <c r="F101" s="1" t="s">
        <v>29</v>
      </c>
      <c r="G101" s="1" t="s">
        <v>7</v>
      </c>
      <c r="H101" s="1">
        <v>0</v>
      </c>
      <c r="I101" s="1" t="s">
        <v>767</v>
      </c>
      <c r="J101" s="24">
        <v>45294</v>
      </c>
      <c r="K101" s="16">
        <v>112010.61190000002</v>
      </c>
      <c r="L101" s="19">
        <v>94949.2</v>
      </c>
      <c r="M101" s="19">
        <v>96074.6351</v>
      </c>
      <c r="N101" s="17">
        <v>594014.97</v>
      </c>
      <c r="O101" s="18">
        <f>IFERROR(Table1[[#This Row],[30-7 stock lvl]]/Table1[[#This Row],[26-Aug]],0)</f>
        <v>6.1828490879170666</v>
      </c>
      <c r="P101" s="1" t="s">
        <v>823</v>
      </c>
    </row>
    <row r="102" spans="1:16" x14ac:dyDescent="0.25">
      <c r="A102" s="2">
        <v>200201030901</v>
      </c>
      <c r="B102" s="10" t="s">
        <v>362</v>
      </c>
      <c r="C102" s="6" t="s">
        <v>697</v>
      </c>
      <c r="E102" s="21" t="s">
        <v>79</v>
      </c>
      <c r="G102" s="1" t="s">
        <v>7</v>
      </c>
      <c r="H102" s="1">
        <v>0</v>
      </c>
      <c r="I102" s="1" t="s">
        <v>784</v>
      </c>
      <c r="J102" s="24">
        <v>45936</v>
      </c>
      <c r="K102" s="16">
        <v>105832.68985000001</v>
      </c>
      <c r="L102" s="19">
        <v>126745.43519999999</v>
      </c>
      <c r="M102" s="19">
        <v>124515.3319</v>
      </c>
      <c r="N102" s="17">
        <v>766988.44134999998</v>
      </c>
      <c r="O102" s="18">
        <f>IFERROR(Table1[[#This Row],[30-7 stock lvl]]/Table1[[#This Row],[26-Aug]],0)</f>
        <v>6.1597911650428641</v>
      </c>
      <c r="P102" s="1" t="s">
        <v>823</v>
      </c>
    </row>
    <row r="103" spans="1:16" x14ac:dyDescent="0.25">
      <c r="A103" s="2">
        <v>100802001004</v>
      </c>
      <c r="B103" s="10" t="s">
        <v>141</v>
      </c>
      <c r="C103" s="6" t="s">
        <v>142</v>
      </c>
      <c r="E103" s="21" t="s">
        <v>6</v>
      </c>
      <c r="F103" s="1" t="s">
        <v>29</v>
      </c>
      <c r="G103" s="1" t="s">
        <v>7</v>
      </c>
      <c r="H103" s="1">
        <v>0</v>
      </c>
      <c r="I103" s="1" t="s">
        <v>782</v>
      </c>
      <c r="J103" s="24">
        <v>43132</v>
      </c>
      <c r="K103" s="16">
        <v>136455.0925</v>
      </c>
      <c r="L103" s="19">
        <v>98452.9</v>
      </c>
      <c r="M103" s="19">
        <v>105347.3272</v>
      </c>
      <c r="N103" s="17">
        <v>645817.71499999997</v>
      </c>
      <c r="O103" s="18">
        <f>IFERROR(Table1[[#This Row],[30-7 stock lvl]]/Table1[[#This Row],[26-Aug]],0)</f>
        <v>6.1303664000314564</v>
      </c>
      <c r="P103" s="1" t="s">
        <v>823</v>
      </c>
    </row>
    <row r="104" spans="1:16" x14ac:dyDescent="0.25">
      <c r="A104" s="2">
        <v>200201060600</v>
      </c>
      <c r="B104" s="10" t="s">
        <v>380</v>
      </c>
      <c r="C104" s="6" t="s">
        <v>706</v>
      </c>
      <c r="E104" s="21" t="s">
        <v>150</v>
      </c>
      <c r="G104" s="1" t="s">
        <v>129</v>
      </c>
      <c r="H104" s="1">
        <v>0</v>
      </c>
      <c r="I104" s="1" t="s">
        <v>786</v>
      </c>
      <c r="J104" s="24">
        <v>45973</v>
      </c>
      <c r="K104" s="16">
        <v>94126.14499999999</v>
      </c>
      <c r="L104" s="19">
        <v>106588.11250000002</v>
      </c>
      <c r="M104" s="19">
        <v>118220.41989999999</v>
      </c>
      <c r="N104" s="17">
        <v>723321.66850000003</v>
      </c>
      <c r="O104" s="18">
        <f>IFERROR(Table1[[#This Row],[30-7 stock lvl]]/Table1[[#This Row],[26-Aug]],0)</f>
        <v>6.1184156604404016</v>
      </c>
      <c r="P104" s="1" t="s">
        <v>823</v>
      </c>
    </row>
    <row r="105" spans="1:16" x14ac:dyDescent="0.25">
      <c r="A105" s="2">
        <v>200205010700</v>
      </c>
      <c r="B105" s="10" t="s">
        <v>619</v>
      </c>
      <c r="C105" s="6" t="s">
        <v>620</v>
      </c>
      <c r="E105" s="21" t="s">
        <v>245</v>
      </c>
      <c r="F105" s="1" t="s">
        <v>29</v>
      </c>
      <c r="G105" s="1" t="s">
        <v>7</v>
      </c>
      <c r="H105" s="1">
        <v>0</v>
      </c>
      <c r="I105" s="1" t="s">
        <v>764</v>
      </c>
      <c r="J105" s="24">
        <v>45278</v>
      </c>
      <c r="K105" s="16">
        <v>80948.224100000021</v>
      </c>
      <c r="L105" s="19">
        <v>108139.7415</v>
      </c>
      <c r="M105" s="19">
        <v>96629.477499999994</v>
      </c>
      <c r="N105" s="17">
        <v>589800.7365</v>
      </c>
      <c r="O105" s="18">
        <f>IFERROR(Table1[[#This Row],[30-7 stock lvl]]/Table1[[#This Row],[26-Aug]],0)</f>
        <v>6.103735130928345</v>
      </c>
      <c r="P105" s="1" t="s">
        <v>823</v>
      </c>
    </row>
    <row r="106" spans="1:16" x14ac:dyDescent="0.25">
      <c r="A106" s="2">
        <v>200204030047</v>
      </c>
      <c r="B106" s="10" t="s">
        <v>592</v>
      </c>
      <c r="C106" s="6" t="s">
        <v>593</v>
      </c>
      <c r="E106" s="21" t="s">
        <v>158</v>
      </c>
      <c r="G106" s="1" t="s">
        <v>7</v>
      </c>
      <c r="H106" s="1">
        <v>0</v>
      </c>
      <c r="I106" s="1" t="s">
        <v>785</v>
      </c>
      <c r="J106" s="24">
        <v>45860</v>
      </c>
      <c r="K106" s="16">
        <v>72289.675999999992</v>
      </c>
      <c r="L106" s="19">
        <v>118775.64699999998</v>
      </c>
      <c r="M106" s="19">
        <v>122087.28320000001</v>
      </c>
      <c r="N106" s="17">
        <v>739102.42299999995</v>
      </c>
      <c r="O106" s="18">
        <f>IFERROR(Table1[[#This Row],[30-7 stock lvl]]/Table1[[#This Row],[26-Aug]],0)</f>
        <v>6.0538854140051823</v>
      </c>
      <c r="P106" s="1" t="s">
        <v>823</v>
      </c>
    </row>
    <row r="107" spans="1:16" x14ac:dyDescent="0.25">
      <c r="A107" s="2">
        <v>200202001024</v>
      </c>
      <c r="B107" s="10" t="s">
        <v>422</v>
      </c>
      <c r="C107" s="6" t="s">
        <v>423</v>
      </c>
      <c r="E107" s="21" t="s">
        <v>389</v>
      </c>
      <c r="F107" s="1" t="s">
        <v>29</v>
      </c>
      <c r="G107" s="1" t="s">
        <v>7</v>
      </c>
      <c r="H107" s="1">
        <v>0</v>
      </c>
      <c r="I107" s="1" t="s">
        <v>765</v>
      </c>
      <c r="J107" s="24">
        <v>45462</v>
      </c>
      <c r="K107" s="16">
        <v>81471.183200000014</v>
      </c>
      <c r="L107" s="19">
        <v>83273.999999999985</v>
      </c>
      <c r="M107" s="19">
        <v>91659.893299999996</v>
      </c>
      <c r="N107" s="17">
        <v>554707.66799999995</v>
      </c>
      <c r="O107" s="18">
        <f>IFERROR(Table1[[#This Row],[30-7 stock lvl]]/Table1[[#This Row],[26-Aug]],0)</f>
        <v>6.0518035536486927</v>
      </c>
      <c r="P107" s="1" t="s">
        <v>824</v>
      </c>
    </row>
    <row r="108" spans="1:16" x14ac:dyDescent="0.25">
      <c r="A108" s="2">
        <v>200201010924</v>
      </c>
      <c r="B108" s="10" t="s">
        <v>260</v>
      </c>
      <c r="C108" s="6" t="s">
        <v>261</v>
      </c>
      <c r="E108" s="21" t="s">
        <v>186</v>
      </c>
      <c r="G108" s="1" t="s">
        <v>129</v>
      </c>
      <c r="H108" s="1">
        <v>0</v>
      </c>
      <c r="I108" s="1" t="s">
        <v>782</v>
      </c>
      <c r="J108" s="24">
        <v>45241</v>
      </c>
      <c r="K108" s="16">
        <v>115195.38739999999</v>
      </c>
      <c r="L108" s="19">
        <v>162405.96000000002</v>
      </c>
      <c r="M108" s="19">
        <v>133676.85430000001</v>
      </c>
      <c r="N108" s="17">
        <v>808281.86</v>
      </c>
      <c r="O108" s="18">
        <f>IFERROR(Table1[[#This Row],[30-7 stock lvl]]/Table1[[#This Row],[26-Aug]],0)</f>
        <v>6.0465356118123434</v>
      </c>
      <c r="P108" s="1" t="s">
        <v>823</v>
      </c>
    </row>
    <row r="109" spans="1:16" x14ac:dyDescent="0.25">
      <c r="A109" s="2">
        <v>200203010600</v>
      </c>
      <c r="B109" s="10" t="s">
        <v>451</v>
      </c>
      <c r="C109" s="6" t="s">
        <v>452</v>
      </c>
      <c r="E109" s="21" t="s">
        <v>83</v>
      </c>
      <c r="G109" s="1" t="s">
        <v>7</v>
      </c>
      <c r="H109" s="1">
        <v>0</v>
      </c>
      <c r="I109" s="1" t="s">
        <v>767</v>
      </c>
      <c r="J109" s="24">
        <v>45285</v>
      </c>
      <c r="K109" s="16">
        <v>167926.1324</v>
      </c>
      <c r="L109" s="19">
        <v>161214.45249999996</v>
      </c>
      <c r="M109" s="19">
        <v>151419.79500000001</v>
      </c>
      <c r="N109" s="17">
        <v>914222.91</v>
      </c>
      <c r="O109" s="18">
        <f>IFERROR(Table1[[#This Row],[30-7 stock lvl]]/Table1[[#This Row],[26-Aug]],0)</f>
        <v>6.0376710323772391</v>
      </c>
      <c r="P109" s="1" t="s">
        <v>824</v>
      </c>
    </row>
    <row r="110" spans="1:16" x14ac:dyDescent="0.25">
      <c r="A110" s="2">
        <v>100202001011</v>
      </c>
      <c r="B110" s="10" t="s">
        <v>26</v>
      </c>
      <c r="C110" s="6" t="s">
        <v>27</v>
      </c>
      <c r="D110" s="6" t="s">
        <v>827</v>
      </c>
      <c r="E110" s="21" t="s">
        <v>28</v>
      </c>
      <c r="F110" s="1" t="s">
        <v>29</v>
      </c>
      <c r="G110" s="1" t="s">
        <v>7</v>
      </c>
      <c r="H110" s="1">
        <v>0</v>
      </c>
      <c r="I110" s="1" t="s">
        <v>782</v>
      </c>
      <c r="J110" s="24">
        <v>43101</v>
      </c>
      <c r="K110" s="16">
        <v>55363.525099999992</v>
      </c>
      <c r="L110" s="19">
        <v>73660.590000000011</v>
      </c>
      <c r="M110" s="19">
        <v>63384.218200000003</v>
      </c>
      <c r="N110" s="17">
        <v>382360.79149999999</v>
      </c>
      <c r="O110" s="18">
        <f>IFERROR(Table1[[#This Row],[30-7 stock lvl]]/Table1[[#This Row],[26-Aug]],0)</f>
        <v>6.0324289288149648</v>
      </c>
      <c r="P110" s="1" t="s">
        <v>823</v>
      </c>
    </row>
    <row r="111" spans="1:16" x14ac:dyDescent="0.25">
      <c r="A111" s="2">
        <v>200204030001</v>
      </c>
      <c r="B111" s="10" t="s">
        <v>509</v>
      </c>
      <c r="C111" s="6" t="s">
        <v>510</v>
      </c>
      <c r="E111" s="21" t="s">
        <v>511</v>
      </c>
      <c r="G111" s="1" t="s">
        <v>7</v>
      </c>
      <c r="H111" s="1">
        <v>0</v>
      </c>
      <c r="I111" s="1" t="s">
        <v>783</v>
      </c>
      <c r="J111" s="24">
        <v>45049</v>
      </c>
      <c r="K111" s="16">
        <v>183335.71680000008</v>
      </c>
      <c r="L111" s="19">
        <v>200267.56820000004</v>
      </c>
      <c r="M111" s="19">
        <v>197865.5074</v>
      </c>
      <c r="N111" s="17">
        <v>1191554.8115000001</v>
      </c>
      <c r="O111" s="18">
        <f>IFERROR(Table1[[#This Row],[30-7 stock lvl]]/Table1[[#This Row],[26-Aug]],0)</f>
        <v>6.0220441003453038</v>
      </c>
      <c r="P111" s="1" t="s">
        <v>823</v>
      </c>
    </row>
    <row r="112" spans="1:16" x14ac:dyDescent="0.25">
      <c r="A112" s="2">
        <v>200201030300</v>
      </c>
      <c r="B112" s="10" t="s">
        <v>352</v>
      </c>
      <c r="C112" s="6" t="s">
        <v>353</v>
      </c>
      <c r="E112" s="21" t="s">
        <v>79</v>
      </c>
      <c r="G112" s="1" t="s">
        <v>7</v>
      </c>
      <c r="H112" s="1">
        <v>0</v>
      </c>
      <c r="I112" s="1" t="s">
        <v>784</v>
      </c>
      <c r="J112" s="24">
        <v>45867</v>
      </c>
      <c r="K112" s="16">
        <v>118603.73299999998</v>
      </c>
      <c r="L112" s="19">
        <v>133265.84219999998</v>
      </c>
      <c r="M112" s="19">
        <v>129956.7764</v>
      </c>
      <c r="N112" s="17">
        <v>782308.72</v>
      </c>
      <c r="O112" s="18">
        <f>IFERROR(Table1[[#This Row],[30-7 stock lvl]]/Table1[[#This Row],[26-Aug]],0)</f>
        <v>6.0197608902832096</v>
      </c>
      <c r="P112" s="1" t="s">
        <v>823</v>
      </c>
    </row>
    <row r="113" spans="1:16" x14ac:dyDescent="0.25">
      <c r="A113" s="2">
        <v>200205010905</v>
      </c>
      <c r="B113" s="10" t="s">
        <v>633</v>
      </c>
      <c r="C113" s="6" t="s">
        <v>634</v>
      </c>
      <c r="E113" s="21" t="s">
        <v>245</v>
      </c>
      <c r="G113" s="1" t="s">
        <v>7</v>
      </c>
      <c r="H113" s="1">
        <v>0</v>
      </c>
      <c r="I113" s="1" t="s">
        <v>771</v>
      </c>
      <c r="J113" s="24">
        <v>45402</v>
      </c>
      <c r="K113" s="16">
        <v>113150.4996</v>
      </c>
      <c r="L113" s="19">
        <v>125437.79150000001</v>
      </c>
      <c r="M113" s="19">
        <v>104509.23759999999</v>
      </c>
      <c r="N113" s="17">
        <v>629114.73250000004</v>
      </c>
      <c r="O113" s="18">
        <f>IFERROR(Table1[[#This Row],[30-7 stock lvl]]/Table1[[#This Row],[26-Aug]],0)</f>
        <v>6.0197045442804002</v>
      </c>
      <c r="P113" s="1" t="s">
        <v>824</v>
      </c>
    </row>
    <row r="114" spans="1:16" x14ac:dyDescent="0.25">
      <c r="A114" s="2">
        <v>200201030905</v>
      </c>
      <c r="B114" s="10" t="s">
        <v>366</v>
      </c>
      <c r="C114" s="6" t="s">
        <v>701</v>
      </c>
      <c r="E114" s="21" t="s">
        <v>79</v>
      </c>
      <c r="G114" s="1" t="s">
        <v>7</v>
      </c>
      <c r="H114" s="1">
        <v>0</v>
      </c>
      <c r="I114" s="1" t="s">
        <v>784</v>
      </c>
      <c r="J114" s="24">
        <v>46034</v>
      </c>
      <c r="K114" s="16">
        <v>68701.887199999997</v>
      </c>
      <c r="L114" s="19">
        <v>84969.392500000002</v>
      </c>
      <c r="M114" s="19">
        <v>90753.853099999993</v>
      </c>
      <c r="N114" s="17">
        <v>544565.22750000004</v>
      </c>
      <c r="O114" s="18">
        <f>IFERROR(Table1[[#This Row],[30-7 stock lvl]]/Table1[[#This Row],[26-Aug]],0)</f>
        <v>6.0004639902170727</v>
      </c>
      <c r="P114" s="1" t="s">
        <v>823</v>
      </c>
    </row>
    <row r="115" spans="1:16" x14ac:dyDescent="0.25">
      <c r="A115" s="2">
        <v>101202001010</v>
      </c>
      <c r="B115" s="10" t="s">
        <v>175</v>
      </c>
      <c r="C115" s="6" t="s">
        <v>176</v>
      </c>
      <c r="E115" s="21" t="s">
        <v>158</v>
      </c>
      <c r="F115" s="1" t="s">
        <v>29</v>
      </c>
      <c r="G115" s="1" t="s">
        <v>7</v>
      </c>
      <c r="H115" s="1">
        <v>0</v>
      </c>
      <c r="I115" s="1" t="s">
        <v>763</v>
      </c>
      <c r="J115" s="24">
        <v>45631</v>
      </c>
      <c r="K115" s="16">
        <v>68510.366999999984</v>
      </c>
      <c r="L115" s="19">
        <v>96515.789999999979</v>
      </c>
      <c r="M115" s="19">
        <v>94624.145499999999</v>
      </c>
      <c r="N115" s="17">
        <v>567220.05500000005</v>
      </c>
      <c r="O115" s="18">
        <f>IFERROR(Table1[[#This Row],[30-7 stock lvl]]/Table1[[#This Row],[26-Aug]],0)</f>
        <v>5.9944536566515154</v>
      </c>
      <c r="P115" s="1" t="s">
        <v>823</v>
      </c>
    </row>
    <row r="116" spans="1:16" x14ac:dyDescent="0.25">
      <c r="A116" s="2">
        <v>200204030014</v>
      </c>
      <c r="B116" s="10" t="s">
        <v>533</v>
      </c>
      <c r="C116" s="6" t="s">
        <v>534</v>
      </c>
      <c r="E116" s="21" t="s">
        <v>491</v>
      </c>
      <c r="F116" s="1" t="s">
        <v>29</v>
      </c>
      <c r="G116" s="1" t="s">
        <v>7</v>
      </c>
      <c r="H116" s="1">
        <v>0</v>
      </c>
      <c r="I116" s="1" t="s">
        <v>785</v>
      </c>
      <c r="J116" s="24">
        <v>45055</v>
      </c>
      <c r="K116" s="16">
        <v>73384.225200000001</v>
      </c>
      <c r="L116" s="19">
        <v>96130.799699999989</v>
      </c>
      <c r="M116" s="19">
        <v>106061.9809</v>
      </c>
      <c r="N116" s="17">
        <v>635522.74800000002</v>
      </c>
      <c r="O116" s="18">
        <f>IFERROR(Table1[[#This Row],[30-7 stock lvl]]/Table1[[#This Row],[26-Aug]],0)</f>
        <v>5.9919939511520104</v>
      </c>
      <c r="P116" s="1" t="s">
        <v>823</v>
      </c>
    </row>
    <row r="117" spans="1:16" x14ac:dyDescent="0.25">
      <c r="A117" s="2">
        <v>200201010960</v>
      </c>
      <c r="B117" s="10" t="s">
        <v>323</v>
      </c>
      <c r="C117" s="6" t="s">
        <v>324</v>
      </c>
      <c r="E117" s="21" t="s">
        <v>6</v>
      </c>
      <c r="G117" s="1" t="s">
        <v>7</v>
      </c>
      <c r="H117" s="1">
        <v>0</v>
      </c>
      <c r="I117" s="1" t="s">
        <v>782</v>
      </c>
      <c r="J117" s="24">
        <v>45720</v>
      </c>
      <c r="K117" s="16">
        <v>133558.44680000001</v>
      </c>
      <c r="L117" s="19">
        <v>121624.89</v>
      </c>
      <c r="M117" s="19">
        <v>124454.99159999999</v>
      </c>
      <c r="N117" s="17">
        <v>745332.99750000006</v>
      </c>
      <c r="O117" s="18">
        <f>IFERROR(Table1[[#This Row],[30-7 stock lvl]]/Table1[[#This Row],[26-Aug]],0)</f>
        <v>5.9887754433788425</v>
      </c>
      <c r="P117" s="1" t="s">
        <v>823</v>
      </c>
    </row>
    <row r="118" spans="1:16" x14ac:dyDescent="0.25">
      <c r="A118" s="2">
        <v>200203010808</v>
      </c>
      <c r="B118" s="10" t="s">
        <v>468</v>
      </c>
      <c r="C118" s="6" t="s">
        <v>469</v>
      </c>
      <c r="E118" s="21" t="s">
        <v>83</v>
      </c>
      <c r="F118" s="1" t="s">
        <v>29</v>
      </c>
      <c r="G118" s="1" t="s">
        <v>7</v>
      </c>
      <c r="H118" s="1">
        <v>0</v>
      </c>
      <c r="I118" s="1" t="s">
        <v>767</v>
      </c>
      <c r="J118" s="24">
        <v>45543</v>
      </c>
      <c r="K118" s="16">
        <v>108559.182</v>
      </c>
      <c r="L118" s="19">
        <v>107151.33</v>
      </c>
      <c r="M118" s="19">
        <v>105008.545</v>
      </c>
      <c r="N118" s="17">
        <v>627257.01199999999</v>
      </c>
      <c r="O118" s="18">
        <f>IFERROR(Table1[[#This Row],[30-7 stock lvl]]/Table1[[#This Row],[26-Aug]],0)</f>
        <v>5.973390184579741</v>
      </c>
      <c r="P118" s="1" t="s">
        <v>823</v>
      </c>
    </row>
    <row r="119" spans="1:16" x14ac:dyDescent="0.25">
      <c r="A119" s="2">
        <v>200202001009</v>
      </c>
      <c r="B119" s="10" t="s">
        <v>392</v>
      </c>
      <c r="C119" s="6" t="s">
        <v>393</v>
      </c>
      <c r="E119" s="21" t="s">
        <v>389</v>
      </c>
      <c r="G119" s="1" t="s">
        <v>7</v>
      </c>
      <c r="H119" s="1">
        <v>0</v>
      </c>
      <c r="I119" s="1" t="s">
        <v>765</v>
      </c>
      <c r="J119" s="24">
        <v>44956</v>
      </c>
      <c r="K119" s="16">
        <v>121526.47480000003</v>
      </c>
      <c r="L119" s="19">
        <v>122626.2947</v>
      </c>
      <c r="M119" s="19">
        <v>116473.2292</v>
      </c>
      <c r="N119" s="17">
        <v>691753.26800000004</v>
      </c>
      <c r="O119" s="18">
        <f>IFERROR(Table1[[#This Row],[30-7 stock lvl]]/Table1[[#This Row],[26-Aug]],0)</f>
        <v>5.9391610651763402</v>
      </c>
      <c r="P119" s="1" t="s">
        <v>823</v>
      </c>
    </row>
    <row r="120" spans="1:16" x14ac:dyDescent="0.25">
      <c r="A120" s="2">
        <v>200202001021</v>
      </c>
      <c r="B120" s="10" t="s">
        <v>416</v>
      </c>
      <c r="C120" s="6" t="s">
        <v>417</v>
      </c>
      <c r="E120" s="21" t="s">
        <v>389</v>
      </c>
      <c r="G120" s="1" t="s">
        <v>7</v>
      </c>
      <c r="H120" s="1">
        <v>0</v>
      </c>
      <c r="I120" s="1" t="s">
        <v>765</v>
      </c>
      <c r="J120" s="24">
        <v>45338</v>
      </c>
      <c r="K120" s="16">
        <v>101400.20959999997</v>
      </c>
      <c r="L120" s="19">
        <v>104924.09</v>
      </c>
      <c r="M120" s="19">
        <v>93974.536699999997</v>
      </c>
      <c r="N120" s="17">
        <v>556856.87399999995</v>
      </c>
      <c r="O120" s="18">
        <f>IFERROR(Table1[[#This Row],[30-7 stock lvl]]/Table1[[#This Row],[26-Aug]],0)</f>
        <v>5.9256144648808888</v>
      </c>
      <c r="P120" s="1" t="s">
        <v>824</v>
      </c>
    </row>
    <row r="121" spans="1:16" x14ac:dyDescent="0.25">
      <c r="A121" s="2">
        <v>200202001013</v>
      </c>
      <c r="B121" s="10" t="s">
        <v>400</v>
      </c>
      <c r="C121" s="6" t="s">
        <v>401</v>
      </c>
      <c r="E121" s="21" t="s">
        <v>389</v>
      </c>
      <c r="G121" s="1" t="s">
        <v>7</v>
      </c>
      <c r="H121" s="1">
        <v>0</v>
      </c>
      <c r="I121" s="1" t="s">
        <v>765</v>
      </c>
      <c r="J121" s="24">
        <v>45069</v>
      </c>
      <c r="K121" s="16">
        <v>112606.23509999999</v>
      </c>
      <c r="L121" s="19">
        <v>96122.1</v>
      </c>
      <c r="M121" s="19">
        <v>104655.8305</v>
      </c>
      <c r="N121" s="17">
        <v>619938.86899999995</v>
      </c>
      <c r="O121" s="18">
        <f>IFERROR(Table1[[#This Row],[30-7 stock lvl]]/Table1[[#This Row],[26-Aug]],0)</f>
        <v>5.9235960962538057</v>
      </c>
      <c r="P121" s="1" t="s">
        <v>823</v>
      </c>
    </row>
    <row r="122" spans="1:16" x14ac:dyDescent="0.25">
      <c r="A122" s="2">
        <v>200201010400</v>
      </c>
      <c r="B122" s="10" t="s">
        <v>689</v>
      </c>
      <c r="C122" s="6" t="s">
        <v>207</v>
      </c>
      <c r="E122" s="21" t="s">
        <v>13</v>
      </c>
      <c r="F122" s="1" t="s">
        <v>29</v>
      </c>
      <c r="G122" s="1" t="s">
        <v>7</v>
      </c>
      <c r="H122" s="1">
        <v>0</v>
      </c>
      <c r="I122" s="1" t="s">
        <v>782</v>
      </c>
      <c r="J122" s="24">
        <v>44540</v>
      </c>
      <c r="K122" s="16">
        <v>74141.454100000003</v>
      </c>
      <c r="L122" s="19">
        <v>69493.407000000007</v>
      </c>
      <c r="M122" s="19">
        <v>82957.760750000001</v>
      </c>
      <c r="N122" s="17">
        <v>489967.5845</v>
      </c>
      <c r="O122" s="18">
        <f>IFERROR(Table1[[#This Row],[30-7 stock lvl]]/Table1[[#This Row],[26-Aug]],0)</f>
        <v>5.9062296290344358</v>
      </c>
      <c r="P122" s="1" t="s">
        <v>823</v>
      </c>
    </row>
    <row r="123" spans="1:16" x14ac:dyDescent="0.25">
      <c r="A123" s="2">
        <v>200202001025</v>
      </c>
      <c r="B123" s="10" t="s">
        <v>424</v>
      </c>
      <c r="C123" s="6" t="s">
        <v>425</v>
      </c>
      <c r="E123" s="21" t="s">
        <v>389</v>
      </c>
      <c r="G123" s="1" t="s">
        <v>7</v>
      </c>
      <c r="H123" s="1">
        <v>0</v>
      </c>
      <c r="I123" s="1" t="s">
        <v>765</v>
      </c>
      <c r="J123" s="24">
        <v>45473</v>
      </c>
      <c r="K123" s="16">
        <v>81409.045200000022</v>
      </c>
      <c r="L123" s="19">
        <v>114304.45</v>
      </c>
      <c r="M123" s="19">
        <v>117675.1539</v>
      </c>
      <c r="N123" s="17">
        <v>690311.84199999995</v>
      </c>
      <c r="O123" s="18">
        <f>IFERROR(Table1[[#This Row],[30-7 stock lvl]]/Table1[[#This Row],[26-Aug]],0)</f>
        <v>5.8662497487500627</v>
      </c>
      <c r="P123" s="1" t="s">
        <v>824</v>
      </c>
    </row>
    <row r="124" spans="1:16" x14ac:dyDescent="0.25">
      <c r="A124" s="2">
        <v>200201030902</v>
      </c>
      <c r="B124" s="10" t="s">
        <v>363</v>
      </c>
      <c r="C124" s="6" t="s">
        <v>698</v>
      </c>
      <c r="E124" s="21" t="s">
        <v>79</v>
      </c>
      <c r="G124" s="1" t="s">
        <v>7</v>
      </c>
      <c r="H124" s="1">
        <v>0</v>
      </c>
      <c r="I124" s="1" t="s">
        <v>784</v>
      </c>
      <c r="J124" s="24">
        <v>45987</v>
      </c>
      <c r="K124" s="16">
        <v>120699.64939999998</v>
      </c>
      <c r="L124" s="19">
        <v>138167.67249999996</v>
      </c>
      <c r="M124" s="19">
        <v>151682.38690000001</v>
      </c>
      <c r="N124" s="17">
        <v>883846.95</v>
      </c>
      <c r="O124" s="18">
        <f>IFERROR(Table1[[#This Row],[30-7 stock lvl]]/Table1[[#This Row],[26-Aug]],0)</f>
        <v>5.8269583441002659</v>
      </c>
      <c r="P124" s="1" t="s">
        <v>823</v>
      </c>
    </row>
    <row r="125" spans="1:16" x14ac:dyDescent="0.25">
      <c r="A125" s="2">
        <v>100502001002</v>
      </c>
      <c r="B125" s="10" t="s">
        <v>114</v>
      </c>
      <c r="C125" s="6" t="s">
        <v>115</v>
      </c>
      <c r="E125" s="21" t="s">
        <v>10</v>
      </c>
      <c r="G125" s="1" t="s">
        <v>7</v>
      </c>
      <c r="H125" s="1">
        <v>0</v>
      </c>
      <c r="I125" s="1" t="s">
        <v>782</v>
      </c>
      <c r="J125" s="24">
        <v>43101</v>
      </c>
      <c r="K125" s="16">
        <v>113636.7659</v>
      </c>
      <c r="L125" s="19">
        <v>104263.06000000003</v>
      </c>
      <c r="M125" s="19">
        <v>110273.7933</v>
      </c>
      <c r="N125" s="17">
        <v>639615.22</v>
      </c>
      <c r="O125" s="18">
        <f>IFERROR(Table1[[#This Row],[30-7 stock lvl]]/Table1[[#This Row],[26-Aug]],0)</f>
        <v>5.8002468298150029</v>
      </c>
      <c r="P125" s="1" t="s">
        <v>824</v>
      </c>
    </row>
    <row r="126" spans="1:16" x14ac:dyDescent="0.25">
      <c r="A126" s="2">
        <v>102002003001</v>
      </c>
      <c r="B126" s="10" t="s">
        <v>191</v>
      </c>
      <c r="C126" s="6" t="s">
        <v>192</v>
      </c>
      <c r="E126" s="21" t="s">
        <v>13</v>
      </c>
      <c r="F126" s="1" t="s">
        <v>29</v>
      </c>
      <c r="G126" s="1" t="s">
        <v>7</v>
      </c>
      <c r="H126" s="1">
        <v>0</v>
      </c>
      <c r="I126" s="1" t="s">
        <v>782</v>
      </c>
      <c r="J126" s="24">
        <v>44348</v>
      </c>
      <c r="K126" s="16">
        <v>64187.817800000019</v>
      </c>
      <c r="L126" s="19">
        <v>76295.069999999992</v>
      </c>
      <c r="M126" s="19">
        <v>74060.561100000006</v>
      </c>
      <c r="N126" s="17">
        <v>429411.99</v>
      </c>
      <c r="O126" s="18">
        <f>IFERROR(Table1[[#This Row],[30-7 stock lvl]]/Table1[[#This Row],[26-Aug]],0)</f>
        <v>5.7981195878355285</v>
      </c>
      <c r="P126" s="1" t="s">
        <v>823</v>
      </c>
    </row>
    <row r="127" spans="1:16" x14ac:dyDescent="0.25">
      <c r="A127" s="2">
        <v>200201010906</v>
      </c>
      <c r="B127" s="10" t="s">
        <v>227</v>
      </c>
      <c r="C127" s="6" t="s">
        <v>228</v>
      </c>
      <c r="E127" s="21" t="s">
        <v>13</v>
      </c>
      <c r="F127" s="1" t="s">
        <v>29</v>
      </c>
      <c r="G127" s="1" t="s">
        <v>7</v>
      </c>
      <c r="H127" s="1">
        <v>0</v>
      </c>
      <c r="I127" s="1" t="s">
        <v>782</v>
      </c>
      <c r="J127" s="24">
        <v>44979</v>
      </c>
      <c r="K127" s="16">
        <v>76546.870899999994</v>
      </c>
      <c r="L127" s="19">
        <v>67353.95</v>
      </c>
      <c r="M127" s="19">
        <v>69338.340100000001</v>
      </c>
      <c r="N127" s="17">
        <v>400795.98300000001</v>
      </c>
      <c r="O127" s="18">
        <f>IFERROR(Table1[[#This Row],[30-7 stock lvl]]/Table1[[#This Row],[26-Aug]],0)</f>
        <v>5.7802938810183599</v>
      </c>
      <c r="P127" s="1" t="s">
        <v>823</v>
      </c>
    </row>
    <row r="128" spans="1:16" x14ac:dyDescent="0.25">
      <c r="A128" s="2">
        <v>200201050600</v>
      </c>
      <c r="B128" s="10" t="s">
        <v>705</v>
      </c>
      <c r="C128" s="6" t="s">
        <v>704</v>
      </c>
      <c r="E128" s="21" t="s">
        <v>79</v>
      </c>
      <c r="G128" s="1" t="s">
        <v>7</v>
      </c>
      <c r="H128" s="1">
        <v>0</v>
      </c>
      <c r="I128" s="1" t="s">
        <v>784</v>
      </c>
      <c r="J128" s="24">
        <v>45086</v>
      </c>
      <c r="K128" s="16">
        <v>90509.468099999984</v>
      </c>
      <c r="L128" s="19">
        <v>105322.29999999999</v>
      </c>
      <c r="M128" s="19">
        <v>120720.3186</v>
      </c>
      <c r="N128" s="17">
        <v>696866.35349999997</v>
      </c>
      <c r="O128" s="18">
        <f>IFERROR(Table1[[#This Row],[30-7 stock lvl]]/Table1[[#This Row],[26-Aug]],0)</f>
        <v>5.7725688730910951</v>
      </c>
      <c r="P128" s="1" t="s">
        <v>823</v>
      </c>
    </row>
    <row r="129" spans="1:16" x14ac:dyDescent="0.25">
      <c r="A129" s="2">
        <v>200204010007</v>
      </c>
      <c r="B129" s="10" t="s">
        <v>496</v>
      </c>
      <c r="C129" s="6" t="s">
        <v>497</v>
      </c>
      <c r="E129" s="21" t="s">
        <v>491</v>
      </c>
      <c r="G129" s="1" t="s">
        <v>7</v>
      </c>
      <c r="H129" s="1">
        <v>0</v>
      </c>
      <c r="I129" s="1" t="s">
        <v>785</v>
      </c>
      <c r="J129" s="24">
        <v>45979</v>
      </c>
      <c r="K129" s="16">
        <v>61850.682400000012</v>
      </c>
      <c r="L129" s="19">
        <v>87494.459099999993</v>
      </c>
      <c r="M129" s="19">
        <v>114043.51</v>
      </c>
      <c r="N129" s="17">
        <v>657940.86499999999</v>
      </c>
      <c r="O129" s="18">
        <f>IFERROR(Table1[[#This Row],[30-7 stock lvl]]/Table1[[#This Row],[26-Aug]],0)</f>
        <v>5.7692091816535642</v>
      </c>
      <c r="P129" s="1" t="s">
        <v>824</v>
      </c>
    </row>
    <row r="130" spans="1:16" x14ac:dyDescent="0.25">
      <c r="A130" s="2">
        <v>200204030037</v>
      </c>
      <c r="B130" s="10" t="s">
        <v>574</v>
      </c>
      <c r="C130" s="6" t="s">
        <v>575</v>
      </c>
      <c r="E130" s="21" t="s">
        <v>491</v>
      </c>
      <c r="F130" s="1" t="s">
        <v>29</v>
      </c>
      <c r="G130" s="1" t="s">
        <v>7</v>
      </c>
      <c r="H130" s="1">
        <v>0</v>
      </c>
      <c r="I130" s="1" t="s">
        <v>785</v>
      </c>
      <c r="J130" s="24">
        <v>45750</v>
      </c>
      <c r="K130" s="16">
        <v>58598.049299999991</v>
      </c>
      <c r="L130" s="19">
        <v>92391.695099999997</v>
      </c>
      <c r="M130" s="19">
        <v>100353.52280000001</v>
      </c>
      <c r="N130" s="17">
        <v>578369.23</v>
      </c>
      <c r="O130" s="18">
        <f>IFERROR(Table1[[#This Row],[30-7 stock lvl]]/Table1[[#This Row],[26-Aug]],0)</f>
        <v>5.7633176580423937</v>
      </c>
      <c r="P130" s="1" t="s">
        <v>823</v>
      </c>
    </row>
    <row r="131" spans="1:16" x14ac:dyDescent="0.25">
      <c r="A131" s="2">
        <v>200201010920</v>
      </c>
      <c r="B131" s="10" t="s">
        <v>252</v>
      </c>
      <c r="C131" s="6" t="s">
        <v>253</v>
      </c>
      <c r="E131" s="21" t="s">
        <v>210</v>
      </c>
      <c r="G131" s="1" t="s">
        <v>129</v>
      </c>
      <c r="H131" s="1">
        <v>0</v>
      </c>
      <c r="I131" s="1" t="s">
        <v>782</v>
      </c>
      <c r="J131" s="24">
        <v>45128</v>
      </c>
      <c r="K131" s="16">
        <v>62450.486000000004</v>
      </c>
      <c r="L131" s="19">
        <v>70433.449999999983</v>
      </c>
      <c r="M131" s="19">
        <v>85340.241999999998</v>
      </c>
      <c r="N131" s="17">
        <v>490790.36</v>
      </c>
      <c r="O131" s="18">
        <f>IFERROR(Table1[[#This Row],[30-7 stock lvl]]/Table1[[#This Row],[26-Aug]],0)</f>
        <v>5.7509839261997877</v>
      </c>
      <c r="P131" s="1" t="s">
        <v>823</v>
      </c>
    </row>
    <row r="132" spans="1:16" x14ac:dyDescent="0.25">
      <c r="A132" s="2">
        <v>100202001006</v>
      </c>
      <c r="B132" s="10" t="s">
        <v>16</v>
      </c>
      <c r="C132" s="6" t="s">
        <v>17</v>
      </c>
      <c r="E132" s="21" t="s">
        <v>6</v>
      </c>
      <c r="G132" s="1" t="s">
        <v>7</v>
      </c>
      <c r="H132" s="1">
        <v>0</v>
      </c>
      <c r="I132" s="1" t="s">
        <v>782</v>
      </c>
      <c r="J132" s="24">
        <v>43101</v>
      </c>
      <c r="K132" s="16">
        <v>69251.810200000007</v>
      </c>
      <c r="L132" s="19">
        <v>67418.459999999977</v>
      </c>
      <c r="M132" s="19">
        <v>87573.141199999998</v>
      </c>
      <c r="N132" s="17">
        <v>499926.31699999998</v>
      </c>
      <c r="O132" s="18">
        <f>IFERROR(Table1[[#This Row],[30-7 stock lvl]]/Table1[[#This Row],[26-Aug]],0)</f>
        <v>5.7086717474055844</v>
      </c>
      <c r="P132" s="1" t="s">
        <v>823</v>
      </c>
    </row>
    <row r="133" spans="1:16" x14ac:dyDescent="0.25">
      <c r="A133" s="2">
        <v>200201010965</v>
      </c>
      <c r="B133" s="10" t="s">
        <v>331</v>
      </c>
      <c r="C133" s="6" t="s">
        <v>332</v>
      </c>
      <c r="E133" s="21" t="s">
        <v>13</v>
      </c>
      <c r="G133" s="1" t="s">
        <v>7</v>
      </c>
      <c r="H133" s="1">
        <v>0</v>
      </c>
      <c r="I133" s="1" t="s">
        <v>782</v>
      </c>
      <c r="J133" s="24">
        <v>45908</v>
      </c>
      <c r="K133" s="16">
        <v>78379.288800000009</v>
      </c>
      <c r="L133" s="19">
        <v>112024.83000000002</v>
      </c>
      <c r="M133" s="19">
        <v>121297.8734</v>
      </c>
      <c r="N133" s="17">
        <v>688698.28500000003</v>
      </c>
      <c r="O133" s="18">
        <f>IFERROR(Table1[[#This Row],[30-7 stock lvl]]/Table1[[#This Row],[26-Aug]],0)</f>
        <v>5.6777440996752055</v>
      </c>
      <c r="P133" s="1" t="s">
        <v>823</v>
      </c>
    </row>
    <row r="134" spans="1:16" x14ac:dyDescent="0.25">
      <c r="A134" s="2">
        <v>200201070100</v>
      </c>
      <c r="B134" s="10" t="s">
        <v>381</v>
      </c>
      <c r="C134" s="6" t="s">
        <v>382</v>
      </c>
      <c r="E134" s="21" t="s">
        <v>79</v>
      </c>
      <c r="G134" s="1" t="s">
        <v>7</v>
      </c>
      <c r="H134" s="1">
        <v>0</v>
      </c>
      <c r="I134" s="1" t="s">
        <v>786</v>
      </c>
      <c r="J134" s="24">
        <v>45796</v>
      </c>
      <c r="K134" s="16">
        <v>126690.13699999999</v>
      </c>
      <c r="L134" s="19">
        <v>144583.32150000002</v>
      </c>
      <c r="M134" s="19">
        <v>146897.74280000001</v>
      </c>
      <c r="N134" s="17">
        <v>815612.23849999998</v>
      </c>
      <c r="O134" s="18">
        <f>IFERROR(Table1[[#This Row],[30-7 stock lvl]]/Table1[[#This Row],[26-Aug]],0)</f>
        <v>5.5522448674412166</v>
      </c>
      <c r="P134" s="1" t="s">
        <v>823</v>
      </c>
    </row>
    <row r="135" spans="1:16" x14ac:dyDescent="0.25">
      <c r="A135" s="2">
        <v>200202001008</v>
      </c>
      <c r="B135" s="10" t="s">
        <v>710</v>
      </c>
      <c r="C135" s="6" t="s">
        <v>391</v>
      </c>
      <c r="E135" s="21" t="s">
        <v>389</v>
      </c>
      <c r="G135" s="1" t="s">
        <v>7</v>
      </c>
      <c r="H135" s="1">
        <v>0</v>
      </c>
      <c r="I135" s="1" t="s">
        <v>765</v>
      </c>
      <c r="J135" s="24">
        <v>44810</v>
      </c>
      <c r="K135" s="16">
        <v>181570.18139999994</v>
      </c>
      <c r="L135" s="19">
        <v>168804.94750000001</v>
      </c>
      <c r="M135" s="19">
        <v>166958.538</v>
      </c>
      <c r="N135" s="17">
        <v>926418.94900000002</v>
      </c>
      <c r="O135" s="18">
        <f>IFERROR(Table1[[#This Row],[30-7 stock lvl]]/Table1[[#This Row],[26-Aug]],0)</f>
        <v>5.548796486227018</v>
      </c>
      <c r="P135" s="1" t="s">
        <v>823</v>
      </c>
    </row>
    <row r="136" spans="1:16" x14ac:dyDescent="0.25">
      <c r="A136" s="2">
        <v>200204030041</v>
      </c>
      <c r="B136" s="10" t="s">
        <v>582</v>
      </c>
      <c r="C136" s="6" t="s">
        <v>583</v>
      </c>
      <c r="E136" s="21" t="s">
        <v>491</v>
      </c>
      <c r="G136" s="1" t="s">
        <v>7</v>
      </c>
      <c r="H136" s="1">
        <v>0</v>
      </c>
      <c r="I136" s="1" t="s">
        <v>785</v>
      </c>
      <c r="J136" s="24">
        <v>45799</v>
      </c>
      <c r="K136" s="16">
        <v>78576.209300000002</v>
      </c>
      <c r="L136" s="19">
        <v>108214.86999999997</v>
      </c>
      <c r="M136" s="19">
        <v>111178.4014</v>
      </c>
      <c r="N136" s="17">
        <v>614996.21</v>
      </c>
      <c r="O136" s="18">
        <f>IFERROR(Table1[[#This Row],[30-7 stock lvl]]/Table1[[#This Row],[26-Aug]],0)</f>
        <v>5.5316158737285095</v>
      </c>
      <c r="P136" s="1" t="s">
        <v>823</v>
      </c>
    </row>
    <row r="137" spans="1:16" x14ac:dyDescent="0.25">
      <c r="A137" s="2">
        <v>100202001016</v>
      </c>
      <c r="B137" s="10" t="s">
        <v>38</v>
      </c>
      <c r="C137" s="6" t="s">
        <v>39</v>
      </c>
      <c r="D137" s="6" t="s">
        <v>827</v>
      </c>
      <c r="E137" s="21" t="s">
        <v>28</v>
      </c>
      <c r="G137" s="1" t="s">
        <v>7</v>
      </c>
      <c r="H137" s="1">
        <v>0</v>
      </c>
      <c r="I137" s="1" t="s">
        <v>782</v>
      </c>
      <c r="J137" s="24">
        <v>43252</v>
      </c>
      <c r="K137" s="16">
        <v>82638.661099999998</v>
      </c>
      <c r="L137" s="19">
        <v>97897.452500000014</v>
      </c>
      <c r="M137" s="19">
        <v>76748.990000000005</v>
      </c>
      <c r="N137" s="17">
        <v>424468.86200000002</v>
      </c>
      <c r="O137" s="18">
        <f>IFERROR(Table1[[#This Row],[30-7 stock lvl]]/Table1[[#This Row],[26-Aug]],0)</f>
        <v>5.5306116992549343</v>
      </c>
      <c r="P137" s="1" t="s">
        <v>823</v>
      </c>
    </row>
    <row r="138" spans="1:16" x14ac:dyDescent="0.25">
      <c r="A138" s="2">
        <v>200203020100</v>
      </c>
      <c r="B138" s="10" t="s">
        <v>485</v>
      </c>
      <c r="C138" s="6" t="s">
        <v>486</v>
      </c>
      <c r="E138" s="21" t="s">
        <v>186</v>
      </c>
      <c r="G138" s="1" t="s">
        <v>129</v>
      </c>
      <c r="H138" s="1">
        <v>0</v>
      </c>
      <c r="I138" s="1" t="s">
        <v>788</v>
      </c>
      <c r="J138" s="24">
        <v>45411</v>
      </c>
      <c r="K138" s="16">
        <v>60212.6325</v>
      </c>
      <c r="L138" s="19">
        <v>71263.099999999991</v>
      </c>
      <c r="M138" s="19">
        <v>81486.672500000001</v>
      </c>
      <c r="N138" s="17">
        <v>447925.14549999998</v>
      </c>
      <c r="O138" s="18">
        <f>IFERROR(Table1[[#This Row],[30-7 stock lvl]]/Table1[[#This Row],[26-Aug]],0)</f>
        <v>5.4969129522376798</v>
      </c>
      <c r="P138" s="1" t="s">
        <v>823</v>
      </c>
    </row>
    <row r="139" spans="1:16" x14ac:dyDescent="0.25">
      <c r="A139" s="2">
        <v>200202001011</v>
      </c>
      <c r="B139" s="10" t="s">
        <v>396</v>
      </c>
      <c r="C139" s="6" t="s">
        <v>397</v>
      </c>
      <c r="E139" s="21" t="s">
        <v>389</v>
      </c>
      <c r="G139" s="1" t="s">
        <v>7</v>
      </c>
      <c r="H139" s="1">
        <v>0</v>
      </c>
      <c r="I139" s="1" t="s">
        <v>765</v>
      </c>
      <c r="J139" s="24">
        <v>45062</v>
      </c>
      <c r="K139" s="16">
        <v>145365.61909999998</v>
      </c>
      <c r="L139" s="19">
        <v>159227.15</v>
      </c>
      <c r="M139" s="19">
        <v>150616.73209999999</v>
      </c>
      <c r="N139" s="17">
        <v>825579.76249999995</v>
      </c>
      <c r="O139" s="18">
        <f>IFERROR(Table1[[#This Row],[30-7 stock lvl]]/Table1[[#This Row],[26-Aug]],0)</f>
        <v>5.481328342403998</v>
      </c>
      <c r="P139" s="1" t="s">
        <v>823</v>
      </c>
    </row>
    <row r="140" spans="1:16" x14ac:dyDescent="0.25">
      <c r="A140" s="2">
        <v>200201030400</v>
      </c>
      <c r="B140" s="10" t="s">
        <v>354</v>
      </c>
      <c r="C140" s="6" t="s">
        <v>355</v>
      </c>
      <c r="E140" s="21" t="s">
        <v>79</v>
      </c>
      <c r="G140" s="1" t="s">
        <v>7</v>
      </c>
      <c r="H140" s="1">
        <v>0</v>
      </c>
      <c r="I140" s="1" t="s">
        <v>784</v>
      </c>
      <c r="J140" s="24">
        <v>45219</v>
      </c>
      <c r="K140" s="16">
        <v>122408.29080000002</v>
      </c>
      <c r="L140" s="19">
        <v>127305.34999999998</v>
      </c>
      <c r="M140" s="19">
        <v>120939.2504</v>
      </c>
      <c r="N140" s="17">
        <v>661802.76899999997</v>
      </c>
      <c r="O140" s="18">
        <f>IFERROR(Table1[[#This Row],[30-7 stock lvl]]/Table1[[#This Row],[26-Aug]],0)</f>
        <v>5.4721917558701847</v>
      </c>
      <c r="P140" s="1" t="s">
        <v>823</v>
      </c>
    </row>
    <row r="141" spans="1:16" x14ac:dyDescent="0.25">
      <c r="A141" s="2">
        <v>200203020200</v>
      </c>
      <c r="B141" s="10" t="s">
        <v>723</v>
      </c>
      <c r="C141" s="6" t="s">
        <v>487</v>
      </c>
      <c r="E141" s="21" t="s">
        <v>83</v>
      </c>
      <c r="F141" s="1" t="s">
        <v>29</v>
      </c>
      <c r="G141" s="1" t="s">
        <v>7</v>
      </c>
      <c r="H141" s="1">
        <v>0</v>
      </c>
      <c r="I141" s="1" t="s">
        <v>788</v>
      </c>
      <c r="J141" s="24">
        <v>45705</v>
      </c>
      <c r="K141" s="16">
        <v>101273.76850000001</v>
      </c>
      <c r="L141" s="19">
        <v>130038.98850000002</v>
      </c>
      <c r="M141" s="19">
        <v>118710.1655</v>
      </c>
      <c r="N141" s="17">
        <v>647023.94850000006</v>
      </c>
      <c r="O141" s="18">
        <f>IFERROR(Table1[[#This Row],[30-7 stock lvl]]/Table1[[#This Row],[26-Aug]],0)</f>
        <v>5.4504510694157871</v>
      </c>
      <c r="P141" s="1" t="s">
        <v>823</v>
      </c>
    </row>
    <row r="142" spans="1:16" x14ac:dyDescent="0.25">
      <c r="A142" s="2">
        <v>200204010005</v>
      </c>
      <c r="B142" s="10" t="s">
        <v>726</v>
      </c>
      <c r="C142" s="6" t="s">
        <v>725</v>
      </c>
      <c r="E142" s="21" t="s">
        <v>491</v>
      </c>
      <c r="G142" s="1" t="s">
        <v>7</v>
      </c>
      <c r="H142" s="1">
        <v>0</v>
      </c>
      <c r="I142" s="1" t="s">
        <v>785</v>
      </c>
      <c r="J142" s="24">
        <v>45952</v>
      </c>
      <c r="K142" s="16">
        <v>83401.19749999998</v>
      </c>
      <c r="L142" s="19">
        <v>122890.5858</v>
      </c>
      <c r="M142" s="19">
        <v>132893.19829999999</v>
      </c>
      <c r="N142" s="17">
        <v>720376.91214999999</v>
      </c>
      <c r="O142" s="18">
        <f>IFERROR(Table1[[#This Row],[30-7 stock lvl]]/Table1[[#This Row],[26-Aug]],0)</f>
        <v>5.4207207093005909</v>
      </c>
      <c r="P142" s="1" t="s">
        <v>823</v>
      </c>
    </row>
    <row r="143" spans="1:16" x14ac:dyDescent="0.25">
      <c r="A143" s="2">
        <v>200202001020</v>
      </c>
      <c r="B143" s="10" t="s">
        <v>414</v>
      </c>
      <c r="C143" s="6" t="s">
        <v>415</v>
      </c>
      <c r="E143" s="21" t="s">
        <v>389</v>
      </c>
      <c r="G143" s="1" t="s">
        <v>7</v>
      </c>
      <c r="H143" s="1">
        <v>0</v>
      </c>
      <c r="I143" s="1" t="s">
        <v>765</v>
      </c>
      <c r="J143" s="24">
        <v>45333</v>
      </c>
      <c r="K143" s="16">
        <v>84619.470100000006</v>
      </c>
      <c r="L143" s="19">
        <v>93417.79</v>
      </c>
      <c r="M143" s="19">
        <v>126321.08719999999</v>
      </c>
      <c r="N143" s="17">
        <v>683882.30599999998</v>
      </c>
      <c r="O143" s="18">
        <f>IFERROR(Table1[[#This Row],[30-7 stock lvl]]/Table1[[#This Row],[26-Aug]],0)</f>
        <v>5.4138411975288951</v>
      </c>
      <c r="P143" s="1" t="s">
        <v>823</v>
      </c>
    </row>
    <row r="144" spans="1:16" x14ac:dyDescent="0.25">
      <c r="A144" s="2">
        <v>200201060100</v>
      </c>
      <c r="B144" s="10" t="s">
        <v>370</v>
      </c>
      <c r="C144" s="6" t="s">
        <v>371</v>
      </c>
      <c r="E144" s="21" t="s">
        <v>79</v>
      </c>
      <c r="F144" s="1" t="s">
        <v>29</v>
      </c>
      <c r="G144" s="1" t="s">
        <v>7</v>
      </c>
      <c r="H144" s="1">
        <v>0</v>
      </c>
      <c r="I144" s="1" t="s">
        <v>786</v>
      </c>
      <c r="J144" s="24">
        <v>45006</v>
      </c>
      <c r="K144" s="16">
        <v>96753.814700000017</v>
      </c>
      <c r="L144" s="19">
        <v>106742.65049999997</v>
      </c>
      <c r="M144" s="19">
        <v>128004.913</v>
      </c>
      <c r="N144" s="17">
        <v>691200.28749999998</v>
      </c>
      <c r="O144" s="18">
        <f>IFERROR(Table1[[#This Row],[30-7 stock lvl]]/Table1[[#This Row],[26-Aug]],0)</f>
        <v>5.399794986775234</v>
      </c>
      <c r="P144" s="1" t="s">
        <v>823</v>
      </c>
    </row>
    <row r="145" spans="1:16" x14ac:dyDescent="0.25">
      <c r="A145" s="2">
        <v>200201010942</v>
      </c>
      <c r="B145" s="10" t="s">
        <v>288</v>
      </c>
      <c r="C145" s="6" t="s">
        <v>289</v>
      </c>
      <c r="E145" s="21" t="s">
        <v>128</v>
      </c>
      <c r="G145" s="1" t="s">
        <v>129</v>
      </c>
      <c r="H145" s="1">
        <v>0</v>
      </c>
      <c r="I145" s="1" t="s">
        <v>782</v>
      </c>
      <c r="J145" s="24">
        <v>45489</v>
      </c>
      <c r="K145" s="16">
        <v>180014.11980000001</v>
      </c>
      <c r="L145" s="19">
        <v>169625.27</v>
      </c>
      <c r="M145" s="19">
        <v>159609.07999999999</v>
      </c>
      <c r="N145" s="17">
        <v>856749.05299999996</v>
      </c>
      <c r="O145" s="18">
        <f>IFERROR(Table1[[#This Row],[30-7 stock lvl]]/Table1[[#This Row],[26-Aug]],0)</f>
        <v>5.3677964499262822</v>
      </c>
      <c r="P145" s="1" t="s">
        <v>823</v>
      </c>
    </row>
    <row r="146" spans="1:16" x14ac:dyDescent="0.25">
      <c r="A146" s="2">
        <v>200204030030</v>
      </c>
      <c r="B146" s="10" t="s">
        <v>562</v>
      </c>
      <c r="C146" s="6" t="s">
        <v>563</v>
      </c>
      <c r="E146" s="21" t="s">
        <v>491</v>
      </c>
      <c r="F146" s="1" t="s">
        <v>29</v>
      </c>
      <c r="G146" s="1" t="s">
        <v>7</v>
      </c>
      <c r="H146" s="1">
        <v>0</v>
      </c>
      <c r="I146" s="1" t="s">
        <v>785</v>
      </c>
      <c r="J146" s="24">
        <v>45573</v>
      </c>
      <c r="K146" s="16">
        <v>72819.730100000015</v>
      </c>
      <c r="L146" s="19">
        <v>91443.837500000009</v>
      </c>
      <c r="M146" s="19">
        <v>102076.44650000001</v>
      </c>
      <c r="N146" s="17">
        <v>546690.44400000002</v>
      </c>
      <c r="O146" s="18">
        <f>IFERROR(Table1[[#This Row],[30-7 stock lvl]]/Table1[[#This Row],[26-Aug]],0)</f>
        <v>5.3556962722051651</v>
      </c>
      <c r="P146" s="1" t="s">
        <v>823</v>
      </c>
    </row>
    <row r="147" spans="1:16" x14ac:dyDescent="0.25">
      <c r="A147" s="2">
        <v>200201010914</v>
      </c>
      <c r="B147" s="10" t="s">
        <v>239</v>
      </c>
      <c r="C147" s="6" t="s">
        <v>240</v>
      </c>
      <c r="E147" s="21" t="s">
        <v>210</v>
      </c>
      <c r="G147" s="1" t="s">
        <v>129</v>
      </c>
      <c r="H147" s="1">
        <v>0</v>
      </c>
      <c r="I147" s="1" t="s">
        <v>782</v>
      </c>
      <c r="J147" s="24">
        <v>45055</v>
      </c>
      <c r="K147" s="16">
        <v>139954.44840000002</v>
      </c>
      <c r="L147" s="19">
        <v>148670.01</v>
      </c>
      <c r="M147" s="19">
        <v>145792.6539</v>
      </c>
      <c r="N147" s="17">
        <v>780102.47250000003</v>
      </c>
      <c r="O147" s="18">
        <f>IFERROR(Table1[[#This Row],[30-7 stock lvl]]/Table1[[#This Row],[26-Aug]],0)</f>
        <v>5.3507666650685755</v>
      </c>
      <c r="P147" s="1" t="s">
        <v>823</v>
      </c>
    </row>
    <row r="148" spans="1:16" x14ac:dyDescent="0.25">
      <c r="A148" s="2">
        <v>101102001001</v>
      </c>
      <c r="B148" s="10" t="s">
        <v>152</v>
      </c>
      <c r="C148" s="6" t="s">
        <v>153</v>
      </c>
      <c r="E148" s="21" t="s">
        <v>28</v>
      </c>
      <c r="F148" s="1" t="s">
        <v>29</v>
      </c>
      <c r="G148" s="1" t="s">
        <v>7</v>
      </c>
      <c r="H148" s="1">
        <v>0</v>
      </c>
      <c r="I148" s="1" t="s">
        <v>782</v>
      </c>
      <c r="J148" s="24">
        <v>43739</v>
      </c>
      <c r="K148" s="16">
        <v>94113.468400000012</v>
      </c>
      <c r="L148" s="19">
        <v>89439.33249999999</v>
      </c>
      <c r="M148" s="19">
        <v>97384.840800000005</v>
      </c>
      <c r="N148" s="17">
        <v>519035.18</v>
      </c>
      <c r="O148" s="18">
        <f>IFERROR(Table1[[#This Row],[30-7 stock lvl]]/Table1[[#This Row],[26-Aug]],0)</f>
        <v>5.3297327975916344</v>
      </c>
      <c r="P148" s="1" t="s">
        <v>823</v>
      </c>
    </row>
    <row r="149" spans="1:16" x14ac:dyDescent="0.25">
      <c r="A149" s="2">
        <v>200205010800</v>
      </c>
      <c r="B149" s="10" t="s">
        <v>621</v>
      </c>
      <c r="C149" s="6" t="s">
        <v>622</v>
      </c>
      <c r="E149" s="21" t="s">
        <v>245</v>
      </c>
      <c r="G149" s="1" t="s">
        <v>7</v>
      </c>
      <c r="H149" s="1">
        <v>0</v>
      </c>
      <c r="I149" s="1" t="s">
        <v>764</v>
      </c>
      <c r="J149" s="24">
        <v>45279</v>
      </c>
      <c r="K149" s="16">
        <v>104388.52779999998</v>
      </c>
      <c r="L149" s="19">
        <v>120430.93999999999</v>
      </c>
      <c r="M149" s="19">
        <v>120572.7445</v>
      </c>
      <c r="N149" s="17">
        <v>640940.07979999995</v>
      </c>
      <c r="O149" s="18">
        <f>IFERROR(Table1[[#This Row],[30-7 stock lvl]]/Table1[[#This Row],[26-Aug]],0)</f>
        <v>5.3157957252934551</v>
      </c>
      <c r="P149" s="1" t="s">
        <v>824</v>
      </c>
    </row>
    <row r="150" spans="1:16" x14ac:dyDescent="0.25">
      <c r="A150" s="2">
        <v>200204010006</v>
      </c>
      <c r="B150" s="10" t="s">
        <v>494</v>
      </c>
      <c r="C150" s="6" t="s">
        <v>495</v>
      </c>
      <c r="E150" s="21" t="s">
        <v>491</v>
      </c>
      <c r="G150" s="1" t="s">
        <v>7</v>
      </c>
      <c r="H150" s="1">
        <v>0</v>
      </c>
      <c r="I150" s="1" t="s">
        <v>785</v>
      </c>
      <c r="J150" s="24">
        <v>45979</v>
      </c>
      <c r="K150" s="16">
        <v>75300.541100000017</v>
      </c>
      <c r="L150" s="19">
        <v>125307.7099</v>
      </c>
      <c r="M150" s="19">
        <v>135506.59160000001</v>
      </c>
      <c r="N150" s="17">
        <v>717058.11250000005</v>
      </c>
      <c r="O150" s="18">
        <f>IFERROR(Table1[[#This Row],[30-7 stock lvl]]/Table1[[#This Row],[26-Aug]],0)</f>
        <v>5.2916843677735894</v>
      </c>
      <c r="P150" s="1" t="s">
        <v>823</v>
      </c>
    </row>
    <row r="151" spans="1:16" x14ac:dyDescent="0.25">
      <c r="A151" s="2">
        <v>200205010914</v>
      </c>
      <c r="B151" s="10" t="s">
        <v>650</v>
      </c>
      <c r="C151" s="6" t="s">
        <v>651</v>
      </c>
      <c r="E151" s="21" t="s">
        <v>245</v>
      </c>
      <c r="G151" s="1" t="s">
        <v>7</v>
      </c>
      <c r="H151" s="1">
        <v>0</v>
      </c>
      <c r="I151" s="1" t="s">
        <v>771</v>
      </c>
      <c r="J151" s="24">
        <v>45730</v>
      </c>
      <c r="K151" s="16">
        <v>120215.17389999999</v>
      </c>
      <c r="L151" s="19">
        <v>113321.86000000002</v>
      </c>
      <c r="M151" s="19">
        <v>116730.14200000001</v>
      </c>
      <c r="N151" s="17">
        <v>615437.95499999996</v>
      </c>
      <c r="O151" s="18">
        <f>IFERROR(Table1[[#This Row],[30-7 stock lvl]]/Table1[[#This Row],[26-Aug]],0)</f>
        <v>5.2723139409870665</v>
      </c>
      <c r="P151" s="1" t="s">
        <v>823</v>
      </c>
    </row>
    <row r="152" spans="1:16" x14ac:dyDescent="0.25">
      <c r="A152" s="2">
        <v>200201020200</v>
      </c>
      <c r="B152" s="10" t="s">
        <v>344</v>
      </c>
      <c r="C152" s="6" t="s">
        <v>345</v>
      </c>
      <c r="E152" s="21" t="s">
        <v>28</v>
      </c>
      <c r="G152" s="1" t="s">
        <v>7</v>
      </c>
      <c r="H152" s="1">
        <v>0</v>
      </c>
      <c r="I152" s="1" t="s">
        <v>782</v>
      </c>
      <c r="J152" s="24">
        <v>45051</v>
      </c>
      <c r="K152" s="16">
        <v>102293.66750000001</v>
      </c>
      <c r="L152" s="19">
        <v>102305.29150000001</v>
      </c>
      <c r="M152" s="19">
        <v>115683.7908</v>
      </c>
      <c r="N152" s="17">
        <v>605891.29299999995</v>
      </c>
      <c r="O152" s="18">
        <f>IFERROR(Table1[[#This Row],[30-7 stock lvl]]/Table1[[#This Row],[26-Aug]],0)</f>
        <v>5.2374778593441453</v>
      </c>
      <c r="P152" s="1" t="s">
        <v>823</v>
      </c>
    </row>
    <row r="153" spans="1:16" x14ac:dyDescent="0.25">
      <c r="A153" s="2">
        <v>200203010805</v>
      </c>
      <c r="B153" s="10" t="s">
        <v>720</v>
      </c>
      <c r="C153" s="6" t="s">
        <v>463</v>
      </c>
      <c r="E153" s="21" t="s">
        <v>83</v>
      </c>
      <c r="G153" s="1" t="s">
        <v>7</v>
      </c>
      <c r="H153" s="1">
        <v>0</v>
      </c>
      <c r="I153" s="1" t="s">
        <v>767</v>
      </c>
      <c r="J153" s="24">
        <v>45415</v>
      </c>
      <c r="K153" s="16">
        <v>148016.10029999999</v>
      </c>
      <c r="L153" s="19">
        <v>172397.57500000001</v>
      </c>
      <c r="M153" s="19">
        <v>152068.9872</v>
      </c>
      <c r="N153" s="17">
        <v>795503.97549999994</v>
      </c>
      <c r="O153" s="18">
        <f>IFERROR(Table1[[#This Row],[30-7 stock lvl]]/Table1[[#This Row],[26-Aug]],0)</f>
        <v>5.2312045351742826</v>
      </c>
      <c r="P153" s="1" t="s">
        <v>823</v>
      </c>
    </row>
    <row r="154" spans="1:16" x14ac:dyDescent="0.25">
      <c r="A154" s="2">
        <v>200204030004</v>
      </c>
      <c r="B154" s="10" t="s">
        <v>516</v>
      </c>
      <c r="C154" s="6" t="s">
        <v>517</v>
      </c>
      <c r="E154" s="21" t="s">
        <v>511</v>
      </c>
      <c r="G154" s="1" t="s">
        <v>7</v>
      </c>
      <c r="H154" s="1">
        <v>0</v>
      </c>
      <c r="I154" s="1" t="s">
        <v>783</v>
      </c>
      <c r="J154" s="24">
        <v>44423</v>
      </c>
      <c r="K154" s="16">
        <v>195671.5877</v>
      </c>
      <c r="L154" s="19">
        <v>233895.66500000004</v>
      </c>
      <c r="M154" s="19">
        <v>211145.10329999999</v>
      </c>
      <c r="N154" s="17">
        <v>1103862.4815</v>
      </c>
      <c r="O154" s="18">
        <f>IFERROR(Table1[[#This Row],[30-7 stock lvl]]/Table1[[#This Row],[26-Aug]],0)</f>
        <v>5.2279804942083166</v>
      </c>
      <c r="P154" s="1" t="s">
        <v>824</v>
      </c>
    </row>
    <row r="155" spans="1:16" x14ac:dyDescent="0.25">
      <c r="A155" s="2">
        <v>200201010957</v>
      </c>
      <c r="B155" s="10" t="s">
        <v>317</v>
      </c>
      <c r="C155" s="6" t="s">
        <v>318</v>
      </c>
      <c r="E155" s="21" t="s">
        <v>186</v>
      </c>
      <c r="G155" s="1" t="s">
        <v>129</v>
      </c>
      <c r="H155" s="1">
        <v>0</v>
      </c>
      <c r="I155" s="1" t="s">
        <v>782</v>
      </c>
      <c r="J155" s="24">
        <v>45692</v>
      </c>
      <c r="K155" s="16">
        <v>292613.19699999999</v>
      </c>
      <c r="L155" s="19">
        <v>283229.29149999999</v>
      </c>
      <c r="M155" s="19">
        <v>208467.43715000001</v>
      </c>
      <c r="N155" s="17">
        <v>1087844.6810000001</v>
      </c>
      <c r="O155" s="18">
        <f>IFERROR(Table1[[#This Row],[30-7 stock lvl]]/Table1[[#This Row],[26-Aug]],0)</f>
        <v>5.2182954607786334</v>
      </c>
      <c r="P155" s="1" t="s">
        <v>823</v>
      </c>
    </row>
    <row r="156" spans="1:16" x14ac:dyDescent="0.25">
      <c r="A156" s="2">
        <v>200201010923</v>
      </c>
      <c r="B156" s="10" t="s">
        <v>258</v>
      </c>
      <c r="C156" s="6" t="s">
        <v>259</v>
      </c>
      <c r="E156" s="21" t="s">
        <v>150</v>
      </c>
      <c r="G156" s="1" t="s">
        <v>129</v>
      </c>
      <c r="H156" s="1">
        <v>0</v>
      </c>
      <c r="I156" s="1" t="s">
        <v>782</v>
      </c>
      <c r="J156" s="24">
        <v>45237</v>
      </c>
      <c r="K156" s="16">
        <v>278288.56930000003</v>
      </c>
      <c r="L156" s="19">
        <v>277392.55850000004</v>
      </c>
      <c r="M156" s="19">
        <v>274078.42550000001</v>
      </c>
      <c r="N156" s="17">
        <v>1429175.669</v>
      </c>
      <c r="O156" s="18">
        <f>IFERROR(Table1[[#This Row],[30-7 stock lvl]]/Table1[[#This Row],[26-Aug]],0)</f>
        <v>5.2144770840417713</v>
      </c>
      <c r="P156" s="1" t="s">
        <v>823</v>
      </c>
    </row>
    <row r="157" spans="1:16" x14ac:dyDescent="0.25">
      <c r="A157" s="2">
        <v>200204030029</v>
      </c>
      <c r="B157" s="10" t="s">
        <v>560</v>
      </c>
      <c r="C157" s="6" t="s">
        <v>561</v>
      </c>
      <c r="E157" s="21" t="s">
        <v>186</v>
      </c>
      <c r="G157" s="1" t="s">
        <v>129</v>
      </c>
      <c r="H157" s="1">
        <v>0</v>
      </c>
      <c r="I157" s="1" t="s">
        <v>768</v>
      </c>
      <c r="J157" s="24">
        <v>45466</v>
      </c>
      <c r="K157" s="16">
        <v>124496.30090000002</v>
      </c>
      <c r="L157" s="19">
        <v>151436.85</v>
      </c>
      <c r="M157" s="19">
        <v>100502.91800000001</v>
      </c>
      <c r="N157" s="17">
        <v>523333.89</v>
      </c>
      <c r="O157" s="18">
        <f>IFERROR(Table1[[#This Row],[30-7 stock lvl]]/Table1[[#This Row],[26-Aug]],0)</f>
        <v>5.2071511993313466</v>
      </c>
      <c r="P157" s="1" t="s">
        <v>823</v>
      </c>
    </row>
    <row r="158" spans="1:16" x14ac:dyDescent="0.25">
      <c r="A158" s="2">
        <v>200204030048</v>
      </c>
      <c r="B158" s="10" t="s">
        <v>594</v>
      </c>
      <c r="C158" s="6" t="s">
        <v>736</v>
      </c>
      <c r="E158" s="21" t="s">
        <v>158</v>
      </c>
      <c r="G158" s="1" t="s">
        <v>7</v>
      </c>
      <c r="H158" s="1">
        <v>0</v>
      </c>
      <c r="I158" s="1" t="s">
        <v>785</v>
      </c>
      <c r="J158" s="24">
        <v>45918</v>
      </c>
      <c r="K158" s="16">
        <v>99546.04</v>
      </c>
      <c r="L158" s="19">
        <v>128115.7956</v>
      </c>
      <c r="M158" s="19">
        <v>128922.62179999999</v>
      </c>
      <c r="N158" s="17">
        <v>670856.84849999996</v>
      </c>
      <c r="O158" s="18">
        <f>IFERROR(Table1[[#This Row],[30-7 stock lvl]]/Table1[[#This Row],[26-Aug]],0)</f>
        <v>5.2035619438511915</v>
      </c>
      <c r="P158" s="1" t="s">
        <v>823</v>
      </c>
    </row>
    <row r="159" spans="1:16" x14ac:dyDescent="0.25">
      <c r="A159" s="2">
        <v>100202001009</v>
      </c>
      <c r="B159" s="10" t="s">
        <v>22</v>
      </c>
      <c r="C159" s="6" t="s">
        <v>23</v>
      </c>
      <c r="D159" s="6" t="s">
        <v>827</v>
      </c>
      <c r="E159" s="21" t="s">
        <v>13</v>
      </c>
      <c r="G159" s="1" t="s">
        <v>7</v>
      </c>
      <c r="H159" s="1">
        <v>0</v>
      </c>
      <c r="I159" s="1" t="s">
        <v>782</v>
      </c>
      <c r="J159" s="24">
        <v>43101</v>
      </c>
      <c r="K159" s="16">
        <v>128090.19190000001</v>
      </c>
      <c r="L159" s="19">
        <v>162287.10999999999</v>
      </c>
      <c r="M159" s="19">
        <v>129898.986</v>
      </c>
      <c r="N159" s="17">
        <v>674129.902</v>
      </c>
      <c r="O159" s="18">
        <f>IFERROR(Table1[[#This Row],[30-7 stock lvl]]/Table1[[#This Row],[26-Aug]],0)</f>
        <v>5.1896471462833436</v>
      </c>
      <c r="P159" s="1" t="s">
        <v>823</v>
      </c>
    </row>
    <row r="160" spans="1:16" x14ac:dyDescent="0.25">
      <c r="A160" s="2">
        <v>101202001011</v>
      </c>
      <c r="B160" s="10" t="s">
        <v>177</v>
      </c>
      <c r="C160" s="6" t="s">
        <v>178</v>
      </c>
      <c r="E160" s="21" t="s">
        <v>158</v>
      </c>
      <c r="G160" s="1" t="s">
        <v>7</v>
      </c>
      <c r="H160" s="1">
        <v>0</v>
      </c>
      <c r="I160" s="1" t="s">
        <v>763</v>
      </c>
      <c r="J160" s="24">
        <v>45628</v>
      </c>
      <c r="K160" s="16">
        <v>78227.463900000002</v>
      </c>
      <c r="L160" s="19">
        <v>144654.07999999999</v>
      </c>
      <c r="M160" s="19">
        <v>108858.85739999999</v>
      </c>
      <c r="N160" s="17">
        <v>559479.255</v>
      </c>
      <c r="O160" s="18">
        <f>IFERROR(Table1[[#This Row],[30-7 stock lvl]]/Table1[[#This Row],[26-Aug]],0)</f>
        <v>5.1394922596349062</v>
      </c>
      <c r="P160" s="1" t="s">
        <v>823</v>
      </c>
    </row>
    <row r="161" spans="1:16" x14ac:dyDescent="0.25">
      <c r="A161" s="2">
        <v>100302001021</v>
      </c>
      <c r="B161" s="10" t="s">
        <v>95</v>
      </c>
      <c r="C161" s="6" t="s">
        <v>96</v>
      </c>
      <c r="E161" s="21" t="s">
        <v>28</v>
      </c>
      <c r="F161" s="1" t="s">
        <v>29</v>
      </c>
      <c r="G161" s="1" t="s">
        <v>7</v>
      </c>
      <c r="H161" s="1">
        <v>0</v>
      </c>
      <c r="I161" s="1" t="s">
        <v>782</v>
      </c>
      <c r="J161" s="24">
        <v>43466</v>
      </c>
      <c r="K161" s="16">
        <v>108663.95679999997</v>
      </c>
      <c r="L161" s="19">
        <v>139062.18</v>
      </c>
      <c r="M161" s="19">
        <v>107943.87149999999</v>
      </c>
      <c r="N161" s="17">
        <v>554110.39</v>
      </c>
      <c r="O161" s="18">
        <f>IFERROR(Table1[[#This Row],[30-7 stock lvl]]/Table1[[#This Row],[26-Aug]],0)</f>
        <v>5.1333195882269242</v>
      </c>
      <c r="P161" s="1" t="s">
        <v>824</v>
      </c>
    </row>
    <row r="162" spans="1:16" x14ac:dyDescent="0.25">
      <c r="A162" s="2">
        <v>200203010809</v>
      </c>
      <c r="B162" s="10" t="s">
        <v>470</v>
      </c>
      <c r="C162" s="6" t="s">
        <v>471</v>
      </c>
      <c r="E162" s="21" t="s">
        <v>83</v>
      </c>
      <c r="G162" s="1" t="s">
        <v>7</v>
      </c>
      <c r="H162" s="1">
        <v>0</v>
      </c>
      <c r="I162" s="1" t="s">
        <v>767</v>
      </c>
      <c r="J162" s="24">
        <v>45582</v>
      </c>
      <c r="K162" s="16">
        <v>185262.67669999992</v>
      </c>
      <c r="L162" s="19">
        <v>193995.0913</v>
      </c>
      <c r="M162" s="19">
        <v>166890.75440000001</v>
      </c>
      <c r="N162" s="17">
        <v>856015.82050000003</v>
      </c>
      <c r="O162" s="18">
        <f>IFERROR(Table1[[#This Row],[30-7 stock lvl]]/Table1[[#This Row],[26-Aug]],0)</f>
        <v>5.1291985800982154</v>
      </c>
      <c r="P162" s="1" t="s">
        <v>823</v>
      </c>
    </row>
    <row r="163" spans="1:16" x14ac:dyDescent="0.25">
      <c r="A163" s="2">
        <v>200202001023</v>
      </c>
      <c r="B163" s="10" t="s">
        <v>420</v>
      </c>
      <c r="C163" s="6" t="s">
        <v>421</v>
      </c>
      <c r="E163" s="21" t="s">
        <v>389</v>
      </c>
      <c r="G163" s="1" t="s">
        <v>7</v>
      </c>
      <c r="H163" s="1">
        <v>0</v>
      </c>
      <c r="I163" s="1" t="s">
        <v>765</v>
      </c>
      <c r="J163" s="24">
        <v>45404</v>
      </c>
      <c r="K163" s="16">
        <v>153986.64420000001</v>
      </c>
      <c r="L163" s="19">
        <v>156217.54150000002</v>
      </c>
      <c r="M163" s="19">
        <v>156100.41329999999</v>
      </c>
      <c r="N163" s="17">
        <v>800103.05649999995</v>
      </c>
      <c r="O163" s="18">
        <f>IFERROR(Table1[[#This Row],[30-7 stock lvl]]/Table1[[#This Row],[26-Aug]],0)</f>
        <v>5.1255665477472503</v>
      </c>
      <c r="P163" s="1" t="s">
        <v>823</v>
      </c>
    </row>
    <row r="164" spans="1:16" x14ac:dyDescent="0.25">
      <c r="A164" s="2">
        <v>100302001005</v>
      </c>
      <c r="B164" s="10" t="s">
        <v>677</v>
      </c>
      <c r="C164" s="6" t="s">
        <v>78</v>
      </c>
      <c r="E164" s="21" t="s">
        <v>79</v>
      </c>
      <c r="F164" s="1" t="s">
        <v>29</v>
      </c>
      <c r="G164" s="1" t="s">
        <v>7</v>
      </c>
      <c r="H164" s="1">
        <v>0</v>
      </c>
      <c r="I164" s="1" t="s">
        <v>784</v>
      </c>
      <c r="J164" s="24">
        <v>43103</v>
      </c>
      <c r="K164" s="16">
        <v>92700.093399999998</v>
      </c>
      <c r="L164" s="19">
        <v>104881.87999999999</v>
      </c>
      <c r="M164" s="19">
        <v>103683.9118</v>
      </c>
      <c r="N164" s="17">
        <v>530053.87849999999</v>
      </c>
      <c r="O164" s="18">
        <f>IFERROR(Table1[[#This Row],[30-7 stock lvl]]/Table1[[#This Row],[26-Aug]],0)</f>
        <v>5.1122094961312987</v>
      </c>
      <c r="P164" s="1" t="s">
        <v>823</v>
      </c>
    </row>
    <row r="165" spans="1:16" x14ac:dyDescent="0.25">
      <c r="A165" s="2">
        <v>100202001018</v>
      </c>
      <c r="B165" s="10" t="s">
        <v>42</v>
      </c>
      <c r="C165" s="6" t="s">
        <v>43</v>
      </c>
      <c r="D165" s="6" t="s">
        <v>827</v>
      </c>
      <c r="E165" s="21" t="s">
        <v>13</v>
      </c>
      <c r="G165" s="1" t="s">
        <v>7</v>
      </c>
      <c r="H165" s="1">
        <v>0</v>
      </c>
      <c r="I165" s="1" t="s">
        <v>782</v>
      </c>
      <c r="J165" s="24">
        <v>42370</v>
      </c>
      <c r="K165" s="16">
        <v>171689.15580000001</v>
      </c>
      <c r="L165" s="19">
        <v>195664.13570000004</v>
      </c>
      <c r="M165" s="19">
        <v>184569.527</v>
      </c>
      <c r="N165" s="17">
        <v>942911.60049999994</v>
      </c>
      <c r="O165" s="18">
        <f>IFERROR(Table1[[#This Row],[30-7 stock lvl]]/Table1[[#This Row],[26-Aug]],0)</f>
        <v>5.1087068153997057</v>
      </c>
      <c r="P165" s="1" t="s">
        <v>823</v>
      </c>
    </row>
    <row r="166" spans="1:16" x14ac:dyDescent="0.25">
      <c r="A166" s="2">
        <v>200204030044</v>
      </c>
      <c r="B166" s="10" t="s">
        <v>587</v>
      </c>
      <c r="C166" s="6" t="s">
        <v>588</v>
      </c>
      <c r="E166" s="21" t="s">
        <v>158</v>
      </c>
      <c r="G166" s="1" t="s">
        <v>7</v>
      </c>
      <c r="H166" s="1">
        <v>0</v>
      </c>
      <c r="I166" s="1" t="s">
        <v>785</v>
      </c>
      <c r="J166" s="24">
        <v>45819</v>
      </c>
      <c r="K166" s="16">
        <v>82411.349499999997</v>
      </c>
      <c r="L166" s="19">
        <v>104242.45349999999</v>
      </c>
      <c r="M166" s="19">
        <v>124254.7454</v>
      </c>
      <c r="N166" s="17">
        <v>630014.04299999995</v>
      </c>
      <c r="O166" s="18">
        <f>IFERROR(Table1[[#This Row],[30-7 stock lvl]]/Table1[[#This Row],[26-Aug]],0)</f>
        <v>5.0703419090503399</v>
      </c>
      <c r="P166" s="1" t="s">
        <v>824</v>
      </c>
    </row>
    <row r="167" spans="1:16" x14ac:dyDescent="0.25">
      <c r="A167" s="2">
        <v>100502001006</v>
      </c>
      <c r="B167" s="10" t="s">
        <v>122</v>
      </c>
      <c r="C167" s="6" t="s">
        <v>123</v>
      </c>
      <c r="E167" s="21" t="s">
        <v>10</v>
      </c>
      <c r="G167" s="1" t="s">
        <v>7</v>
      </c>
      <c r="H167" s="1">
        <v>0</v>
      </c>
      <c r="I167" s="1" t="s">
        <v>782</v>
      </c>
      <c r="J167" s="24">
        <v>42370</v>
      </c>
      <c r="K167" s="16">
        <v>143715.4124</v>
      </c>
      <c r="L167" s="19">
        <v>146609.63690000001</v>
      </c>
      <c r="M167" s="19">
        <v>142571.91440000001</v>
      </c>
      <c r="N167" s="17">
        <v>722723.87915000005</v>
      </c>
      <c r="O167" s="18">
        <f>IFERROR(Table1[[#This Row],[30-7 stock lvl]]/Table1[[#This Row],[26-Aug]],0)</f>
        <v>5.0691882913371336</v>
      </c>
      <c r="P167" s="1" t="s">
        <v>823</v>
      </c>
    </row>
    <row r="168" spans="1:16" x14ac:dyDescent="0.25">
      <c r="A168" s="2">
        <v>101202001002</v>
      </c>
      <c r="B168" s="10" t="s">
        <v>159</v>
      </c>
      <c r="C168" s="6" t="s">
        <v>160</v>
      </c>
      <c r="E168" s="21" t="s">
        <v>158</v>
      </c>
      <c r="F168" s="1" t="s">
        <v>29</v>
      </c>
      <c r="G168" s="1" t="s">
        <v>7</v>
      </c>
      <c r="H168" s="1">
        <v>0</v>
      </c>
      <c r="I168" s="1" t="s">
        <v>763</v>
      </c>
      <c r="J168" s="24">
        <v>43831</v>
      </c>
      <c r="K168" s="16">
        <v>72842.083300000013</v>
      </c>
      <c r="L168" s="19">
        <v>86745.9</v>
      </c>
      <c r="M168" s="19">
        <v>83000.925300000003</v>
      </c>
      <c r="N168" s="17">
        <v>415821.60749999998</v>
      </c>
      <c r="O168" s="18">
        <f>IFERROR(Table1[[#This Row],[30-7 stock lvl]]/Table1[[#This Row],[26-Aug]],0)</f>
        <v>5.0098430348462628</v>
      </c>
      <c r="P168" s="1" t="s">
        <v>823</v>
      </c>
    </row>
    <row r="169" spans="1:16" x14ac:dyDescent="0.25">
      <c r="A169" s="2">
        <v>200203010818</v>
      </c>
      <c r="B169" s="10" t="s">
        <v>483</v>
      </c>
      <c r="C169" s="6" t="s">
        <v>484</v>
      </c>
      <c r="E169" s="21" t="s">
        <v>83</v>
      </c>
      <c r="G169" s="1" t="s">
        <v>7</v>
      </c>
      <c r="H169" s="1">
        <v>0</v>
      </c>
      <c r="I169" s="1" t="s">
        <v>767</v>
      </c>
      <c r="J169" s="24">
        <v>46061</v>
      </c>
      <c r="K169" s="16">
        <v>151542.89569999999</v>
      </c>
      <c r="L169" s="19">
        <v>148711.02000000002</v>
      </c>
      <c r="M169" s="19">
        <v>143200.8273</v>
      </c>
      <c r="N169" s="17">
        <v>715451.07499999995</v>
      </c>
      <c r="O169" s="18">
        <f>IFERROR(Table1[[#This Row],[30-7 stock lvl]]/Table1[[#This Row],[26-Aug]],0)</f>
        <v>4.9961378609996334</v>
      </c>
      <c r="P169" s="1" t="s">
        <v>823</v>
      </c>
    </row>
    <row r="170" spans="1:16" x14ac:dyDescent="0.25">
      <c r="A170" s="2">
        <v>200202001012</v>
      </c>
      <c r="B170" s="10" t="s">
        <v>398</v>
      </c>
      <c r="C170" s="6" t="s">
        <v>399</v>
      </c>
      <c r="E170" s="21" t="s">
        <v>389</v>
      </c>
      <c r="G170" s="1" t="s">
        <v>7</v>
      </c>
      <c r="H170" s="1">
        <v>0</v>
      </c>
      <c r="I170" s="1" t="s">
        <v>765</v>
      </c>
      <c r="J170" s="24">
        <v>45065</v>
      </c>
      <c r="K170" s="16">
        <v>419155.63179999997</v>
      </c>
      <c r="L170" s="19">
        <v>276082.90780000004</v>
      </c>
      <c r="M170" s="19">
        <v>285370.58250000002</v>
      </c>
      <c r="N170" s="17">
        <v>1421142.1410000001</v>
      </c>
      <c r="O170" s="18">
        <f>IFERROR(Table1[[#This Row],[30-7 stock lvl]]/Table1[[#This Row],[26-Aug]],0)</f>
        <v>4.979988226361769</v>
      </c>
      <c r="P170" s="1" t="s">
        <v>825</v>
      </c>
    </row>
    <row r="171" spans="1:16" x14ac:dyDescent="0.25">
      <c r="A171" s="2">
        <v>100302001009</v>
      </c>
      <c r="B171" s="10" t="s">
        <v>679</v>
      </c>
      <c r="C171" s="6" t="s">
        <v>84</v>
      </c>
      <c r="E171" s="21" t="s">
        <v>79</v>
      </c>
      <c r="G171" s="1" t="s">
        <v>7</v>
      </c>
      <c r="H171" s="1">
        <v>0</v>
      </c>
      <c r="I171" s="1" t="s">
        <v>784</v>
      </c>
      <c r="J171" s="24">
        <v>43101</v>
      </c>
      <c r="K171" s="16">
        <v>123032.97959999999</v>
      </c>
      <c r="L171" s="19">
        <v>141105.55779999995</v>
      </c>
      <c r="M171" s="19">
        <v>148195.64120000001</v>
      </c>
      <c r="N171" s="17">
        <v>736244.255</v>
      </c>
      <c r="O171" s="18">
        <f>IFERROR(Table1[[#This Row],[30-7 stock lvl]]/Table1[[#This Row],[26-Aug]],0)</f>
        <v>4.9680560712739767</v>
      </c>
      <c r="P171" s="1" t="s">
        <v>824</v>
      </c>
    </row>
    <row r="172" spans="1:16" x14ac:dyDescent="0.25">
      <c r="A172" s="2">
        <v>200204030027</v>
      </c>
      <c r="B172" s="10" t="s">
        <v>556</v>
      </c>
      <c r="C172" s="6" t="s">
        <v>557</v>
      </c>
      <c r="E172" s="21" t="s">
        <v>511</v>
      </c>
      <c r="F172" s="1" t="s">
        <v>29</v>
      </c>
      <c r="G172" s="1" t="s">
        <v>7</v>
      </c>
      <c r="H172" s="1">
        <v>0</v>
      </c>
      <c r="I172" s="1" t="s">
        <v>768</v>
      </c>
      <c r="J172" s="24">
        <v>45373</v>
      </c>
      <c r="K172" s="16">
        <v>122005.29459999999</v>
      </c>
      <c r="L172" s="19">
        <v>122021.17750000001</v>
      </c>
      <c r="M172" s="19">
        <v>121616.6292</v>
      </c>
      <c r="N172" s="17">
        <v>603275.65899999999</v>
      </c>
      <c r="O172" s="18">
        <f>IFERROR(Table1[[#This Row],[30-7 stock lvl]]/Table1[[#This Row],[26-Aug]],0)</f>
        <v>4.9604701509026858</v>
      </c>
      <c r="P172" s="1" t="s">
        <v>823</v>
      </c>
    </row>
    <row r="173" spans="1:16" x14ac:dyDescent="0.25">
      <c r="A173" s="2">
        <v>200205010920</v>
      </c>
      <c r="B173" s="10" t="s">
        <v>662</v>
      </c>
      <c r="C173" s="6" t="s">
        <v>663</v>
      </c>
      <c r="E173" s="21" t="s">
        <v>245</v>
      </c>
      <c r="G173" s="1" t="s">
        <v>7</v>
      </c>
      <c r="H173" s="1">
        <v>0</v>
      </c>
      <c r="I173" s="1" t="s">
        <v>764</v>
      </c>
      <c r="J173" s="24">
        <v>45922</v>
      </c>
      <c r="K173" s="16">
        <v>97758.776500000007</v>
      </c>
      <c r="L173" s="19">
        <v>132956.46179999996</v>
      </c>
      <c r="M173" s="19">
        <v>125442.22629999999</v>
      </c>
      <c r="N173" s="17">
        <v>622123.103</v>
      </c>
      <c r="O173" s="18">
        <f>IFERROR(Table1[[#This Row],[30-7 stock lvl]]/Table1[[#This Row],[26-Aug]],0)</f>
        <v>4.959439268178869</v>
      </c>
      <c r="P173" s="1" t="s">
        <v>823</v>
      </c>
    </row>
    <row r="174" spans="1:16" x14ac:dyDescent="0.25">
      <c r="A174" s="2">
        <v>200201060300</v>
      </c>
      <c r="B174" s="10" t="s">
        <v>374</v>
      </c>
      <c r="C174" s="6" t="s">
        <v>375</v>
      </c>
      <c r="E174" s="21" t="s">
        <v>150</v>
      </c>
      <c r="G174" s="1" t="s">
        <v>129</v>
      </c>
      <c r="H174" s="1">
        <v>0</v>
      </c>
      <c r="I174" s="1" t="s">
        <v>786</v>
      </c>
      <c r="J174" s="24">
        <v>45218</v>
      </c>
      <c r="K174" s="16">
        <v>103322.57700000002</v>
      </c>
      <c r="L174" s="19">
        <v>98175.989999999976</v>
      </c>
      <c r="M174" s="19">
        <v>127855.109</v>
      </c>
      <c r="N174" s="17">
        <v>632457.52850000001</v>
      </c>
      <c r="O174" s="18">
        <f>IFERROR(Table1[[#This Row],[30-7 stock lvl]]/Table1[[#This Row],[26-Aug]],0)</f>
        <v>4.9466738830123713</v>
      </c>
      <c r="P174" s="1" t="s">
        <v>823</v>
      </c>
    </row>
    <row r="175" spans="1:16" x14ac:dyDescent="0.25">
      <c r="A175" s="2">
        <v>200205010200</v>
      </c>
      <c r="B175" s="10" t="s">
        <v>610</v>
      </c>
      <c r="C175" s="6" t="s">
        <v>611</v>
      </c>
      <c r="E175" s="21" t="s">
        <v>245</v>
      </c>
      <c r="F175" s="1" t="s">
        <v>29</v>
      </c>
      <c r="G175" s="1" t="s">
        <v>7</v>
      </c>
      <c r="H175" s="1">
        <v>0</v>
      </c>
      <c r="I175" s="1" t="s">
        <v>764</v>
      </c>
      <c r="J175" s="24">
        <v>45219</v>
      </c>
      <c r="K175" s="16">
        <v>133039.2794</v>
      </c>
      <c r="L175" s="19">
        <v>182397.22849999997</v>
      </c>
      <c r="M175" s="19">
        <v>175040.79829999999</v>
      </c>
      <c r="N175" s="17">
        <v>864114.45</v>
      </c>
      <c r="O175" s="18">
        <f>IFERROR(Table1[[#This Row],[30-7 stock lvl]]/Table1[[#This Row],[26-Aug]],0)</f>
        <v>4.9366459613547136</v>
      </c>
      <c r="P175" s="1" t="s">
        <v>825</v>
      </c>
    </row>
    <row r="176" spans="1:16" x14ac:dyDescent="0.25">
      <c r="A176" s="2">
        <v>200202001006</v>
      </c>
      <c r="B176" s="10" t="s">
        <v>387</v>
      </c>
      <c r="C176" s="6" t="s">
        <v>388</v>
      </c>
      <c r="E176" s="21" t="s">
        <v>389</v>
      </c>
      <c r="G176" s="1" t="s">
        <v>7</v>
      </c>
      <c r="H176" s="1">
        <v>0</v>
      </c>
      <c r="I176" s="1" t="s">
        <v>765</v>
      </c>
      <c r="J176" s="24">
        <v>44610</v>
      </c>
      <c r="K176" s="16">
        <v>122756.5505</v>
      </c>
      <c r="L176" s="19">
        <v>144785.77350000001</v>
      </c>
      <c r="M176" s="19">
        <v>137765.0619</v>
      </c>
      <c r="N176" s="17">
        <v>679196.63919999998</v>
      </c>
      <c r="O176" s="18">
        <f>IFERROR(Table1[[#This Row],[30-7 stock lvl]]/Table1[[#This Row],[26-Aug]],0)</f>
        <v>4.9301080392430032</v>
      </c>
      <c r="P176" s="1" t="s">
        <v>824</v>
      </c>
    </row>
    <row r="177" spans="1:16" x14ac:dyDescent="0.25">
      <c r="A177" s="2">
        <v>200201060400</v>
      </c>
      <c r="B177" s="10" t="s">
        <v>376</v>
      </c>
      <c r="C177" s="6" t="s">
        <v>377</v>
      </c>
      <c r="E177" s="21" t="s">
        <v>79</v>
      </c>
      <c r="G177" s="1" t="s">
        <v>7</v>
      </c>
      <c r="H177" s="1">
        <v>0</v>
      </c>
      <c r="I177" s="1" t="s">
        <v>786</v>
      </c>
      <c r="J177" s="24">
        <v>45366</v>
      </c>
      <c r="K177" s="16">
        <v>116415.1551</v>
      </c>
      <c r="L177" s="19">
        <v>111169.24999999999</v>
      </c>
      <c r="M177" s="19">
        <v>120506.2807</v>
      </c>
      <c r="N177" s="17">
        <v>592405.40800000005</v>
      </c>
      <c r="O177" s="18">
        <f>IFERROR(Table1[[#This Row],[30-7 stock lvl]]/Table1[[#This Row],[26-Aug]],0)</f>
        <v>4.915971222070918</v>
      </c>
      <c r="P177" s="1" t="s">
        <v>823</v>
      </c>
    </row>
    <row r="178" spans="1:16" x14ac:dyDescent="0.25">
      <c r="A178" s="2">
        <v>200201010941</v>
      </c>
      <c r="B178" s="10" t="s">
        <v>286</v>
      </c>
      <c r="C178" s="6" t="s">
        <v>287</v>
      </c>
      <c r="E178" s="21" t="s">
        <v>128</v>
      </c>
      <c r="G178" s="1" t="s">
        <v>129</v>
      </c>
      <c r="H178" s="1">
        <v>0</v>
      </c>
      <c r="I178" s="1" t="s">
        <v>782</v>
      </c>
      <c r="J178" s="24">
        <v>45481</v>
      </c>
      <c r="K178" s="16">
        <v>118607.76640000001</v>
      </c>
      <c r="L178" s="19">
        <v>126388.05999999998</v>
      </c>
      <c r="M178" s="19">
        <v>131191.44690000001</v>
      </c>
      <c r="N178" s="17">
        <v>640771.30000000005</v>
      </c>
      <c r="O178" s="18">
        <f>IFERROR(Table1[[#This Row],[30-7 stock lvl]]/Table1[[#This Row],[26-Aug]],0)</f>
        <v>4.8842460018634037</v>
      </c>
      <c r="P178" s="1" t="s">
        <v>823</v>
      </c>
    </row>
    <row r="179" spans="1:16" x14ac:dyDescent="0.25">
      <c r="A179" s="2">
        <v>200203010807</v>
      </c>
      <c r="B179" s="10" t="s">
        <v>466</v>
      </c>
      <c r="C179" s="6" t="s">
        <v>467</v>
      </c>
      <c r="E179" s="21" t="s">
        <v>83</v>
      </c>
      <c r="G179" s="1" t="s">
        <v>7</v>
      </c>
      <c r="H179" s="1">
        <v>0</v>
      </c>
      <c r="I179" s="1" t="s">
        <v>767</v>
      </c>
      <c r="J179" s="24">
        <v>45523</v>
      </c>
      <c r="K179" s="16">
        <v>137904.60550000001</v>
      </c>
      <c r="L179" s="19">
        <v>172619.7745</v>
      </c>
      <c r="M179" s="19">
        <v>150350.42069999999</v>
      </c>
      <c r="N179" s="17">
        <v>732389.48199999996</v>
      </c>
      <c r="O179" s="18">
        <f>IFERROR(Table1[[#This Row],[30-7 stock lvl]]/Table1[[#This Row],[26-Aug]],0)</f>
        <v>4.8712167121990637</v>
      </c>
      <c r="P179" s="1" t="s">
        <v>823</v>
      </c>
    </row>
    <row r="180" spans="1:16" x14ac:dyDescent="0.25">
      <c r="A180" s="2">
        <v>100302001008</v>
      </c>
      <c r="B180" s="10" t="s">
        <v>678</v>
      </c>
      <c r="C180" s="6" t="s">
        <v>82</v>
      </c>
      <c r="E180" s="21" t="s">
        <v>83</v>
      </c>
      <c r="G180" s="1" t="s">
        <v>7</v>
      </c>
      <c r="H180" s="1">
        <v>0</v>
      </c>
      <c r="I180" s="1" t="s">
        <v>788</v>
      </c>
      <c r="J180" s="24">
        <v>43101</v>
      </c>
      <c r="K180" s="16">
        <v>90283.771399999998</v>
      </c>
      <c r="L180" s="19">
        <v>123939.227</v>
      </c>
      <c r="M180" s="19">
        <v>121662.266</v>
      </c>
      <c r="N180" s="17">
        <v>590579.40549999999</v>
      </c>
      <c r="O180" s="18">
        <f>IFERROR(Table1[[#This Row],[30-7 stock lvl]]/Table1[[#This Row],[26-Aug]],0)</f>
        <v>4.8542528831412692</v>
      </c>
      <c r="P180" s="1" t="s">
        <v>823</v>
      </c>
    </row>
    <row r="181" spans="1:16" x14ac:dyDescent="0.25">
      <c r="A181" s="2">
        <v>200201020400</v>
      </c>
      <c r="B181" s="10" t="s">
        <v>348</v>
      </c>
      <c r="C181" s="6" t="s">
        <v>349</v>
      </c>
      <c r="E181" s="21" t="s">
        <v>28</v>
      </c>
      <c r="G181" s="1" t="s">
        <v>7</v>
      </c>
      <c r="H181" s="1">
        <v>0</v>
      </c>
      <c r="I181" s="1" t="s">
        <v>782</v>
      </c>
      <c r="J181" s="24">
        <v>45696</v>
      </c>
      <c r="K181" s="16">
        <v>223594.97100000002</v>
      </c>
      <c r="L181" s="19">
        <v>242825.23149999999</v>
      </c>
      <c r="M181" s="19">
        <v>235125.41469999999</v>
      </c>
      <c r="N181" s="17">
        <v>1139639.0989999999</v>
      </c>
      <c r="O181" s="18">
        <f>IFERROR(Table1[[#This Row],[30-7 stock lvl]]/Table1[[#This Row],[26-Aug]],0)</f>
        <v>4.846941367244721</v>
      </c>
      <c r="P181" s="1" t="s">
        <v>824</v>
      </c>
    </row>
    <row r="182" spans="1:16" x14ac:dyDescent="0.25">
      <c r="A182" s="2">
        <v>200204020005</v>
      </c>
      <c r="B182" s="10" t="s">
        <v>506</v>
      </c>
      <c r="C182" s="6" t="s">
        <v>507</v>
      </c>
      <c r="E182" s="21" t="s">
        <v>158</v>
      </c>
      <c r="G182" s="1" t="s">
        <v>7</v>
      </c>
      <c r="H182" s="1">
        <v>0</v>
      </c>
      <c r="I182" s="1" t="s">
        <v>763</v>
      </c>
      <c r="J182" s="24">
        <v>45833</v>
      </c>
      <c r="K182" s="16">
        <v>136788.13560000001</v>
      </c>
      <c r="L182" s="19">
        <v>171987.35870000001</v>
      </c>
      <c r="M182" s="19">
        <v>154688.0085</v>
      </c>
      <c r="N182" s="17">
        <v>748729.95600000001</v>
      </c>
      <c r="O182" s="18">
        <f>IFERROR(Table1[[#This Row],[30-7 stock lvl]]/Table1[[#This Row],[26-Aug]],0)</f>
        <v>4.8402585517803729</v>
      </c>
      <c r="P182" s="1" t="s">
        <v>825</v>
      </c>
    </row>
    <row r="183" spans="1:16" x14ac:dyDescent="0.25">
      <c r="A183" s="2">
        <v>100702001004</v>
      </c>
      <c r="B183" s="10" t="s">
        <v>683</v>
      </c>
      <c r="C183" s="6" t="s">
        <v>132</v>
      </c>
      <c r="E183" s="21" t="s">
        <v>79</v>
      </c>
      <c r="F183" s="1" t="s">
        <v>29</v>
      </c>
      <c r="G183" s="1" t="s">
        <v>7</v>
      </c>
      <c r="H183" s="1">
        <v>0</v>
      </c>
      <c r="I183" s="1" t="s">
        <v>784</v>
      </c>
      <c r="J183" s="24">
        <v>43101</v>
      </c>
      <c r="K183" s="16">
        <v>92639.698199999984</v>
      </c>
      <c r="L183" s="19">
        <v>102019.13349999998</v>
      </c>
      <c r="M183" s="19">
        <v>105861.2427</v>
      </c>
      <c r="N183" s="17">
        <v>507423.19500000001</v>
      </c>
      <c r="O183" s="18">
        <f>IFERROR(Table1[[#This Row],[30-7 stock lvl]]/Table1[[#This Row],[26-Aug]],0)</f>
        <v>4.7932858339665039</v>
      </c>
      <c r="P183" s="1" t="s">
        <v>823</v>
      </c>
    </row>
    <row r="184" spans="1:16" x14ac:dyDescent="0.25">
      <c r="A184" s="2">
        <v>100202001014</v>
      </c>
      <c r="B184" s="10" t="s">
        <v>34</v>
      </c>
      <c r="C184" s="6" t="s">
        <v>35</v>
      </c>
      <c r="E184" s="21" t="s">
        <v>28</v>
      </c>
      <c r="G184" s="1" t="s">
        <v>7</v>
      </c>
      <c r="H184" s="1">
        <v>0</v>
      </c>
      <c r="I184" s="1" t="s">
        <v>782</v>
      </c>
      <c r="J184" s="24">
        <v>43101</v>
      </c>
      <c r="K184" s="16">
        <v>169656.00779999993</v>
      </c>
      <c r="L184" s="19">
        <v>185373.74460000001</v>
      </c>
      <c r="M184" s="19">
        <v>150713.04255000001</v>
      </c>
      <c r="N184" s="17">
        <v>721531.44314999995</v>
      </c>
      <c r="O184" s="18">
        <f>IFERROR(Table1[[#This Row],[30-7 stock lvl]]/Table1[[#This Row],[26-Aug]],0)</f>
        <v>4.7874519082223905</v>
      </c>
      <c r="P184" s="1" t="s">
        <v>823</v>
      </c>
    </row>
    <row r="185" spans="1:16" x14ac:dyDescent="0.25">
      <c r="A185" s="2">
        <v>200203010810</v>
      </c>
      <c r="B185" s="10" t="s">
        <v>472</v>
      </c>
      <c r="C185" s="6" t="s">
        <v>473</v>
      </c>
      <c r="E185" s="21" t="s">
        <v>83</v>
      </c>
      <c r="G185" s="1" t="s">
        <v>7</v>
      </c>
      <c r="H185" s="1">
        <v>0</v>
      </c>
      <c r="I185" s="1" t="s">
        <v>767</v>
      </c>
      <c r="J185" s="24">
        <v>45608</v>
      </c>
      <c r="K185" s="16">
        <v>91106.788800000024</v>
      </c>
      <c r="L185" s="19">
        <v>142301.77999999997</v>
      </c>
      <c r="M185" s="19">
        <v>142902.5681</v>
      </c>
      <c r="N185" s="17">
        <v>683834.375</v>
      </c>
      <c r="O185" s="18">
        <f>IFERROR(Table1[[#This Row],[30-7 stock lvl]]/Table1[[#This Row],[26-Aug]],0)</f>
        <v>4.7853190050543253</v>
      </c>
      <c r="P185" s="1" t="s">
        <v>823</v>
      </c>
    </row>
    <row r="186" spans="1:16" x14ac:dyDescent="0.25">
      <c r="A186" s="2">
        <v>200204030049</v>
      </c>
      <c r="B186" s="10" t="s">
        <v>595</v>
      </c>
      <c r="C186" s="6" t="s">
        <v>737</v>
      </c>
      <c r="E186" s="21" t="s">
        <v>491</v>
      </c>
      <c r="G186" s="1" t="s">
        <v>7</v>
      </c>
      <c r="H186" s="1">
        <v>0</v>
      </c>
      <c r="I186" s="1" t="s">
        <v>785</v>
      </c>
      <c r="J186" s="24">
        <v>45975</v>
      </c>
      <c r="K186" s="16">
        <v>95713.235199999981</v>
      </c>
      <c r="L186" s="19">
        <v>123471.73634999999</v>
      </c>
      <c r="M186" s="19">
        <v>135896.98480000001</v>
      </c>
      <c r="N186" s="17">
        <v>646947.0085</v>
      </c>
      <c r="O186" s="18">
        <f>IFERROR(Table1[[#This Row],[30-7 stock lvl]]/Table1[[#This Row],[26-Aug]],0)</f>
        <v>4.7605692609892252</v>
      </c>
      <c r="P186" s="1" t="s">
        <v>823</v>
      </c>
    </row>
    <row r="187" spans="1:16" x14ac:dyDescent="0.25">
      <c r="A187" s="2">
        <v>200204030024</v>
      </c>
      <c r="B187" s="10" t="s">
        <v>550</v>
      </c>
      <c r="C187" s="6" t="s">
        <v>551</v>
      </c>
      <c r="E187" s="21" t="s">
        <v>186</v>
      </c>
      <c r="G187" s="1" t="s">
        <v>129</v>
      </c>
      <c r="H187" s="1">
        <v>0</v>
      </c>
      <c r="I187" s="1" t="s">
        <v>790</v>
      </c>
      <c r="J187" s="24">
        <v>45210</v>
      </c>
      <c r="K187" s="16">
        <v>154288.02730000002</v>
      </c>
      <c r="L187" s="19">
        <v>106288.67999999998</v>
      </c>
      <c r="M187" s="19">
        <v>119738.99</v>
      </c>
      <c r="N187" s="17">
        <v>569206.89749999996</v>
      </c>
      <c r="O187" s="18">
        <f>IFERROR(Table1[[#This Row],[30-7 stock lvl]]/Table1[[#This Row],[26-Aug]],0)</f>
        <v>4.7537305726397054</v>
      </c>
      <c r="P187" s="1" t="s">
        <v>823</v>
      </c>
    </row>
    <row r="188" spans="1:16" x14ac:dyDescent="0.25">
      <c r="A188" s="2">
        <v>200205010400</v>
      </c>
      <c r="B188" s="10" t="s">
        <v>613</v>
      </c>
      <c r="C188" s="6" t="s">
        <v>614</v>
      </c>
      <c r="E188" s="21" t="s">
        <v>210</v>
      </c>
      <c r="G188" s="1" t="s">
        <v>129</v>
      </c>
      <c r="H188" s="1">
        <v>0</v>
      </c>
      <c r="I188" s="1" t="s">
        <v>769</v>
      </c>
      <c r="J188" s="24">
        <v>45227</v>
      </c>
      <c r="K188" s="16">
        <v>203210.56099999999</v>
      </c>
      <c r="L188" s="19">
        <v>173257.37749999997</v>
      </c>
      <c r="M188" s="19">
        <v>174766.69699999999</v>
      </c>
      <c r="N188" s="17">
        <v>829576.40599999996</v>
      </c>
      <c r="O188" s="18">
        <f>IFERROR(Table1[[#This Row],[30-7 stock lvl]]/Table1[[#This Row],[26-Aug]],0)</f>
        <v>4.7467648026786247</v>
      </c>
      <c r="P188" s="1" t="s">
        <v>823</v>
      </c>
    </row>
    <row r="189" spans="1:16" x14ac:dyDescent="0.25">
      <c r="A189" s="2">
        <v>200204030038</v>
      </c>
      <c r="B189" s="10" t="s">
        <v>576</v>
      </c>
      <c r="C189" s="6" t="s">
        <v>577</v>
      </c>
      <c r="E189" s="21" t="s">
        <v>511</v>
      </c>
      <c r="G189" s="1" t="s">
        <v>7</v>
      </c>
      <c r="H189" s="1">
        <v>0</v>
      </c>
      <c r="I189" s="1" t="s">
        <v>783</v>
      </c>
      <c r="J189" s="24">
        <v>45757</v>
      </c>
      <c r="K189" s="16">
        <v>208892.01930000001</v>
      </c>
      <c r="L189" s="19">
        <v>238430.48899999997</v>
      </c>
      <c r="M189" s="19">
        <v>202590.31390000001</v>
      </c>
      <c r="N189" s="17">
        <v>958816.98950000003</v>
      </c>
      <c r="O189" s="18">
        <f>IFERROR(Table1[[#This Row],[30-7 stock lvl]]/Table1[[#This Row],[26-Aug]],0)</f>
        <v>4.7327879158787365</v>
      </c>
      <c r="P189" s="1" t="s">
        <v>824</v>
      </c>
    </row>
    <row r="190" spans="1:16" x14ac:dyDescent="0.25">
      <c r="A190" s="2">
        <v>200205020500</v>
      </c>
      <c r="B190" s="13" t="s">
        <v>796</v>
      </c>
      <c r="C190" s="8" t="s">
        <v>794</v>
      </c>
      <c r="D190" s="8"/>
      <c r="E190" s="21" t="s">
        <v>389</v>
      </c>
      <c r="G190" s="1" t="s">
        <v>7</v>
      </c>
      <c r="H190" s="1">
        <v>0</v>
      </c>
      <c r="I190" s="1" t="s">
        <v>772</v>
      </c>
      <c r="J190" s="24">
        <v>46193</v>
      </c>
      <c r="K190" s="16">
        <v>8870.630000000001</v>
      </c>
      <c r="L190" s="19">
        <v>87923.159999999989</v>
      </c>
      <c r="M190" s="19">
        <v>129662.53</v>
      </c>
      <c r="N190" s="17">
        <v>611110.81000000006</v>
      </c>
      <c r="O190" s="18">
        <f>IFERROR(Table1[[#This Row],[30-7 stock lvl]]/Table1[[#This Row],[26-Aug]],0)</f>
        <v>4.7130871964321539</v>
      </c>
      <c r="P190" s="1" t="s">
        <v>824</v>
      </c>
    </row>
    <row r="191" spans="1:16" x14ac:dyDescent="0.25">
      <c r="A191" s="2">
        <v>101202001008</v>
      </c>
      <c r="B191" s="11" t="s">
        <v>171</v>
      </c>
      <c r="C191" s="6" t="s">
        <v>172</v>
      </c>
      <c r="E191" s="21" t="s">
        <v>158</v>
      </c>
      <c r="G191" s="1" t="s">
        <v>7</v>
      </c>
      <c r="H191" s="1">
        <v>0</v>
      </c>
      <c r="I191" s="1" t="s">
        <v>763</v>
      </c>
      <c r="J191" s="24">
        <v>45484</v>
      </c>
      <c r="K191" s="16">
        <v>126915.6027</v>
      </c>
      <c r="L191" s="19">
        <v>150767.01150000002</v>
      </c>
      <c r="M191" s="19">
        <v>142590.0019</v>
      </c>
      <c r="N191" s="17">
        <v>669828.37320000003</v>
      </c>
      <c r="O191" s="18">
        <f>IFERROR(Table1[[#This Row],[30-7 stock lvl]]/Table1[[#This Row],[26-Aug]],0)</f>
        <v>4.6975830301885981</v>
      </c>
      <c r="P191" s="1" t="s">
        <v>823</v>
      </c>
    </row>
    <row r="192" spans="1:16" x14ac:dyDescent="0.25">
      <c r="A192" s="2">
        <v>200205010918</v>
      </c>
      <c r="B192" s="10" t="s">
        <v>658</v>
      </c>
      <c r="C192" s="6" t="s">
        <v>659</v>
      </c>
      <c r="E192" s="21" t="s">
        <v>245</v>
      </c>
      <c r="G192" s="1" t="s">
        <v>7</v>
      </c>
      <c r="H192" s="1">
        <v>0</v>
      </c>
      <c r="I192" s="1" t="s">
        <v>764</v>
      </c>
      <c r="J192" s="24">
        <v>45911</v>
      </c>
      <c r="K192" s="16">
        <v>175442.23500000002</v>
      </c>
      <c r="L192" s="19">
        <v>153716.75750000004</v>
      </c>
      <c r="M192" s="19">
        <v>187683.318</v>
      </c>
      <c r="N192" s="17">
        <v>881515.70799999998</v>
      </c>
      <c r="O192" s="18">
        <f>IFERROR(Table1[[#This Row],[30-7 stock lvl]]/Table1[[#This Row],[26-Aug]],0)</f>
        <v>4.6968250422767994</v>
      </c>
      <c r="P192" s="1" t="s">
        <v>823</v>
      </c>
    </row>
    <row r="193" spans="1:16" x14ac:dyDescent="0.25">
      <c r="A193" s="2">
        <v>200201060500</v>
      </c>
      <c r="B193" s="10" t="s">
        <v>378</v>
      </c>
      <c r="C193" s="6" t="s">
        <v>379</v>
      </c>
      <c r="E193" s="21" t="s">
        <v>150</v>
      </c>
      <c r="G193" s="1" t="s">
        <v>129</v>
      </c>
      <c r="H193" s="1">
        <v>0</v>
      </c>
      <c r="I193" s="1" t="s">
        <v>786</v>
      </c>
      <c r="J193" s="24">
        <v>45742</v>
      </c>
      <c r="K193" s="16">
        <v>181927.712</v>
      </c>
      <c r="L193" s="19">
        <v>185116.28</v>
      </c>
      <c r="M193" s="19">
        <v>197434.39499999999</v>
      </c>
      <c r="N193" s="17">
        <v>925019.66650000005</v>
      </c>
      <c r="O193" s="18">
        <f>IFERROR(Table1[[#This Row],[30-7 stock lvl]]/Table1[[#This Row],[26-Aug]],0)</f>
        <v>4.6852001977669602</v>
      </c>
      <c r="P193" s="1" t="s">
        <v>823</v>
      </c>
    </row>
    <row r="194" spans="1:16" x14ac:dyDescent="0.25">
      <c r="A194" s="2">
        <v>100502001007</v>
      </c>
      <c r="B194" s="10" t="s">
        <v>124</v>
      </c>
      <c r="C194" s="6" t="s">
        <v>125</v>
      </c>
      <c r="E194" s="21" t="s">
        <v>10</v>
      </c>
      <c r="G194" s="1" t="s">
        <v>7</v>
      </c>
      <c r="H194" s="1">
        <v>0</v>
      </c>
      <c r="I194" s="1" t="s">
        <v>782</v>
      </c>
      <c r="J194" s="24">
        <v>43466</v>
      </c>
      <c r="K194" s="16">
        <v>116723.5396</v>
      </c>
      <c r="L194" s="19">
        <v>114992.22000000002</v>
      </c>
      <c r="M194" s="19">
        <v>116524.7297</v>
      </c>
      <c r="N194" s="17">
        <v>545396.50249999994</v>
      </c>
      <c r="O194" s="18">
        <f>IFERROR(Table1[[#This Row],[30-7 stock lvl]]/Table1[[#This Row],[26-Aug]],0)</f>
        <v>4.6805214987767521</v>
      </c>
      <c r="P194" s="1" t="s">
        <v>824</v>
      </c>
    </row>
    <row r="195" spans="1:16" x14ac:dyDescent="0.25">
      <c r="A195" s="2">
        <v>100302001017</v>
      </c>
      <c r="B195" s="10" t="s">
        <v>681</v>
      </c>
      <c r="C195" s="6" t="s">
        <v>94</v>
      </c>
      <c r="E195" s="21" t="s">
        <v>83</v>
      </c>
      <c r="G195" s="1" t="s">
        <v>7</v>
      </c>
      <c r="H195" s="1">
        <v>0</v>
      </c>
      <c r="I195" s="1" t="s">
        <v>788</v>
      </c>
      <c r="J195" s="24">
        <v>43101</v>
      </c>
      <c r="K195" s="16">
        <v>107866.65419999998</v>
      </c>
      <c r="L195" s="19">
        <v>118682.77500000001</v>
      </c>
      <c r="M195" s="19">
        <v>121204.8126</v>
      </c>
      <c r="N195" s="17">
        <v>565747.49780000001</v>
      </c>
      <c r="O195" s="18">
        <f>IFERROR(Table1[[#This Row],[30-7 stock lvl]]/Table1[[#This Row],[26-Aug]],0)</f>
        <v>4.6676983006201187</v>
      </c>
      <c r="P195" s="1" t="s">
        <v>823</v>
      </c>
    </row>
    <row r="196" spans="1:16" x14ac:dyDescent="0.25">
      <c r="A196" s="2">
        <v>200201010959</v>
      </c>
      <c r="B196" s="10" t="s">
        <v>321</v>
      </c>
      <c r="C196" s="6" t="s">
        <v>322</v>
      </c>
      <c r="E196" s="21" t="s">
        <v>13</v>
      </c>
      <c r="G196" s="1" t="s">
        <v>7</v>
      </c>
      <c r="H196" s="1">
        <v>0</v>
      </c>
      <c r="I196" s="1" t="s">
        <v>782</v>
      </c>
      <c r="J196" s="24">
        <v>45701</v>
      </c>
      <c r="K196" s="16">
        <v>129421.18539999999</v>
      </c>
      <c r="L196" s="19">
        <v>153793.56589999999</v>
      </c>
      <c r="M196" s="19">
        <v>141958.3646</v>
      </c>
      <c r="N196" s="17">
        <v>660363.1</v>
      </c>
      <c r="O196" s="18">
        <f>IFERROR(Table1[[#This Row],[30-7 stock lvl]]/Table1[[#This Row],[26-Aug]],0)</f>
        <v>4.6518083091526403</v>
      </c>
      <c r="P196" s="1" t="s">
        <v>824</v>
      </c>
    </row>
    <row r="197" spans="1:16" x14ac:dyDescent="0.25">
      <c r="A197" s="2">
        <v>200204030019</v>
      </c>
      <c r="B197" s="10" t="s">
        <v>541</v>
      </c>
      <c r="C197" s="6" t="s">
        <v>542</v>
      </c>
      <c r="E197" s="21" t="s">
        <v>511</v>
      </c>
      <c r="G197" s="1" t="s">
        <v>7</v>
      </c>
      <c r="H197" s="1">
        <v>0</v>
      </c>
      <c r="I197" s="1" t="s">
        <v>783</v>
      </c>
      <c r="J197" s="24">
        <v>45161</v>
      </c>
      <c r="K197" s="16">
        <v>179961.0846</v>
      </c>
      <c r="L197" s="19">
        <v>179617.72999999998</v>
      </c>
      <c r="M197" s="19">
        <v>185451.48490000001</v>
      </c>
      <c r="N197" s="17">
        <v>857614.96620000002</v>
      </c>
      <c r="O197" s="18">
        <f>IFERROR(Table1[[#This Row],[30-7 stock lvl]]/Table1[[#This Row],[26-Aug]],0)</f>
        <v>4.6244707431835721</v>
      </c>
      <c r="P197" s="1" t="s">
        <v>824</v>
      </c>
    </row>
    <row r="198" spans="1:16" x14ac:dyDescent="0.25">
      <c r="A198" s="2">
        <v>200201010967</v>
      </c>
      <c r="B198" s="10" t="s">
        <v>693</v>
      </c>
      <c r="C198" s="6" t="s">
        <v>692</v>
      </c>
      <c r="E198" s="21" t="s">
        <v>128</v>
      </c>
      <c r="G198" s="1" t="s">
        <v>129</v>
      </c>
      <c r="H198" s="1">
        <v>0</v>
      </c>
      <c r="I198" s="1" t="s">
        <v>782</v>
      </c>
      <c r="J198" s="24">
        <v>45916</v>
      </c>
      <c r="K198" s="16">
        <v>147223.52569999997</v>
      </c>
      <c r="L198" s="19">
        <v>142266.995</v>
      </c>
      <c r="M198" s="19">
        <v>186227.58790000001</v>
      </c>
      <c r="N198" s="17">
        <v>860471.00600000005</v>
      </c>
      <c r="O198" s="18">
        <f>IFERROR(Table1[[#This Row],[30-7 stock lvl]]/Table1[[#This Row],[26-Aug]],0)</f>
        <v>4.620534560443609</v>
      </c>
      <c r="P198" s="1" t="s">
        <v>823</v>
      </c>
    </row>
    <row r="199" spans="1:16" x14ac:dyDescent="0.25">
      <c r="A199" s="2">
        <v>200203010500</v>
      </c>
      <c r="B199" s="10" t="s">
        <v>449</v>
      </c>
      <c r="C199" s="6" t="s">
        <v>450</v>
      </c>
      <c r="E199" s="21" t="s">
        <v>83</v>
      </c>
      <c r="G199" s="1" t="s">
        <v>7</v>
      </c>
      <c r="H199" s="1">
        <v>0</v>
      </c>
      <c r="I199" s="1" t="s">
        <v>767</v>
      </c>
      <c r="J199" s="24">
        <v>45307</v>
      </c>
      <c r="K199" s="16">
        <v>210629.98869999999</v>
      </c>
      <c r="L199" s="19">
        <v>234169.22249999997</v>
      </c>
      <c r="M199" s="19">
        <v>204391.3125</v>
      </c>
      <c r="N199" s="17">
        <v>942152.6</v>
      </c>
      <c r="O199" s="18">
        <f>IFERROR(Table1[[#This Row],[30-7 stock lvl]]/Table1[[#This Row],[26-Aug]],0)</f>
        <v>4.6095530601380137</v>
      </c>
      <c r="P199" s="1" t="s">
        <v>824</v>
      </c>
    </row>
    <row r="200" spans="1:16" x14ac:dyDescent="0.25">
      <c r="A200" s="2">
        <v>200204030036</v>
      </c>
      <c r="B200" s="10" t="s">
        <v>572</v>
      </c>
      <c r="C200" s="6" t="s">
        <v>573</v>
      </c>
      <c r="E200" s="21" t="s">
        <v>491</v>
      </c>
      <c r="F200" s="1" t="s">
        <v>29</v>
      </c>
      <c r="G200" s="1" t="s">
        <v>7</v>
      </c>
      <c r="H200" s="1">
        <v>0</v>
      </c>
      <c r="I200" s="1" t="s">
        <v>785</v>
      </c>
      <c r="J200" s="24">
        <v>45710</v>
      </c>
      <c r="K200" s="16">
        <v>91393.122299999988</v>
      </c>
      <c r="L200" s="19">
        <v>120527.68570000003</v>
      </c>
      <c r="M200" s="19">
        <v>120582.6774</v>
      </c>
      <c r="N200" s="17">
        <v>553476.42799999996</v>
      </c>
      <c r="O200" s="18">
        <f>IFERROR(Table1[[#This Row],[30-7 stock lvl]]/Table1[[#This Row],[26-Aug]],0)</f>
        <v>4.590016078047376</v>
      </c>
      <c r="P200" s="1" t="s">
        <v>823</v>
      </c>
    </row>
    <row r="201" spans="1:16" x14ac:dyDescent="0.25">
      <c r="A201" s="2">
        <v>200202001018</v>
      </c>
      <c r="B201" s="10" t="s">
        <v>410</v>
      </c>
      <c r="C201" s="6" t="s">
        <v>411</v>
      </c>
      <c r="E201" s="21" t="s">
        <v>389</v>
      </c>
      <c r="G201" s="1" t="s">
        <v>7</v>
      </c>
      <c r="H201" s="1">
        <v>0</v>
      </c>
      <c r="I201" s="1" t="s">
        <v>765</v>
      </c>
      <c r="J201" s="24">
        <v>45281</v>
      </c>
      <c r="K201" s="16">
        <v>107192.84189999998</v>
      </c>
      <c r="L201" s="19">
        <v>139932.11000000002</v>
      </c>
      <c r="M201" s="19">
        <v>136438.1943</v>
      </c>
      <c r="N201" s="17">
        <v>624950.64049999998</v>
      </c>
      <c r="O201" s="18">
        <f>IFERROR(Table1[[#This Row],[30-7 stock lvl]]/Table1[[#This Row],[26-Aug]],0)</f>
        <v>4.5804669557987543</v>
      </c>
      <c r="P201" s="1" t="s">
        <v>823</v>
      </c>
    </row>
    <row r="202" spans="1:16" x14ac:dyDescent="0.25">
      <c r="A202" s="2">
        <v>100402001002</v>
      </c>
      <c r="B202" s="10" t="s">
        <v>110</v>
      </c>
      <c r="C202" s="6" t="s">
        <v>111</v>
      </c>
      <c r="E202" s="21" t="s">
        <v>10</v>
      </c>
      <c r="G202" s="1" t="s">
        <v>7</v>
      </c>
      <c r="H202" s="1">
        <v>0</v>
      </c>
      <c r="I202" s="1" t="s">
        <v>782</v>
      </c>
      <c r="J202" s="24">
        <v>43101</v>
      </c>
      <c r="K202" s="16">
        <v>201982.16309999998</v>
      </c>
      <c r="L202" s="19">
        <v>195576.19749999998</v>
      </c>
      <c r="M202" s="19">
        <v>191984.63029999999</v>
      </c>
      <c r="N202" s="17">
        <v>872792.26650000003</v>
      </c>
      <c r="O202" s="18">
        <f>IFERROR(Table1[[#This Row],[30-7 stock lvl]]/Table1[[#This Row],[26-Aug]],0)</f>
        <v>4.5461569769212931</v>
      </c>
      <c r="P202" s="1" t="s">
        <v>823</v>
      </c>
    </row>
    <row r="203" spans="1:16" x14ac:dyDescent="0.25">
      <c r="A203" s="2">
        <v>200201010909</v>
      </c>
      <c r="B203" s="10" t="s">
        <v>231</v>
      </c>
      <c r="C203" s="6" t="s">
        <v>232</v>
      </c>
      <c r="E203" s="21" t="s">
        <v>210</v>
      </c>
      <c r="G203" s="1" t="s">
        <v>129</v>
      </c>
      <c r="H203" s="1">
        <v>0</v>
      </c>
      <c r="I203" s="1" t="s">
        <v>782</v>
      </c>
      <c r="J203" s="24">
        <v>44958</v>
      </c>
      <c r="K203" s="16">
        <v>197747.61560000002</v>
      </c>
      <c r="L203" s="19">
        <v>214049.45999999993</v>
      </c>
      <c r="M203" s="19">
        <v>188990.3572</v>
      </c>
      <c r="N203" s="17">
        <v>858486.22400000005</v>
      </c>
      <c r="O203" s="18">
        <f>IFERROR(Table1[[#This Row],[30-7 stock lvl]]/Table1[[#This Row],[26-Aug]],0)</f>
        <v>4.5424869116020705</v>
      </c>
      <c r="P203" s="1" t="s">
        <v>823</v>
      </c>
    </row>
    <row r="204" spans="1:16" x14ac:dyDescent="0.25">
      <c r="A204" s="2">
        <v>200203010200</v>
      </c>
      <c r="B204" s="10" t="s">
        <v>443</v>
      </c>
      <c r="C204" s="6" t="s">
        <v>444</v>
      </c>
      <c r="E204" s="21" t="s">
        <v>83</v>
      </c>
      <c r="G204" s="1" t="s">
        <v>7</v>
      </c>
      <c r="H204" s="1">
        <v>0</v>
      </c>
      <c r="I204" s="1" t="s">
        <v>767</v>
      </c>
      <c r="J204" s="24">
        <v>45184</v>
      </c>
      <c r="K204" s="16">
        <v>284318.73330000002</v>
      </c>
      <c r="L204" s="19">
        <v>268549.11</v>
      </c>
      <c r="M204" s="19">
        <v>251540.29990000001</v>
      </c>
      <c r="N204" s="17">
        <v>1135671.0525</v>
      </c>
      <c r="O204" s="18">
        <f>IFERROR(Table1[[#This Row],[30-7 stock lvl]]/Table1[[#This Row],[26-Aug]],0)</f>
        <v>4.5148672119397437</v>
      </c>
      <c r="P204" s="1" t="s">
        <v>823</v>
      </c>
    </row>
    <row r="205" spans="1:16" x14ac:dyDescent="0.25">
      <c r="A205" s="2">
        <v>200203010802</v>
      </c>
      <c r="B205" s="10" t="s">
        <v>457</v>
      </c>
      <c r="C205" s="6" t="s">
        <v>458</v>
      </c>
      <c r="E205" s="21" t="s">
        <v>83</v>
      </c>
      <c r="G205" s="1" t="s">
        <v>7</v>
      </c>
      <c r="H205" s="1">
        <v>0</v>
      </c>
      <c r="I205" s="1" t="s">
        <v>767</v>
      </c>
      <c r="J205" s="24">
        <v>45329</v>
      </c>
      <c r="K205" s="16">
        <v>246969.57460000002</v>
      </c>
      <c r="L205" s="19">
        <v>279578.95249999996</v>
      </c>
      <c r="M205" s="19">
        <v>245501.82740000001</v>
      </c>
      <c r="N205" s="17">
        <v>1103308.7239999999</v>
      </c>
      <c r="O205" s="18">
        <f>IFERROR(Table1[[#This Row],[30-7 stock lvl]]/Table1[[#This Row],[26-Aug]],0)</f>
        <v>4.4940957698142165</v>
      </c>
      <c r="P205" s="1" t="s">
        <v>824</v>
      </c>
    </row>
    <row r="206" spans="1:16" x14ac:dyDescent="0.25">
      <c r="A206" s="2">
        <v>100302001014</v>
      </c>
      <c r="B206" s="10" t="s">
        <v>90</v>
      </c>
      <c r="C206" s="6" t="s">
        <v>91</v>
      </c>
      <c r="D206" s="6" t="s">
        <v>827</v>
      </c>
      <c r="E206" s="21" t="s">
        <v>28</v>
      </c>
      <c r="F206" s="1" t="s">
        <v>29</v>
      </c>
      <c r="G206" s="1" t="s">
        <v>7</v>
      </c>
      <c r="H206" s="1">
        <v>0</v>
      </c>
      <c r="I206" s="1" t="s">
        <v>782</v>
      </c>
      <c r="J206" s="24">
        <v>43101</v>
      </c>
      <c r="K206" s="16">
        <v>128127.788</v>
      </c>
      <c r="L206" s="19">
        <v>151408.46000000002</v>
      </c>
      <c r="M206" s="19">
        <v>127588.7905</v>
      </c>
      <c r="N206" s="17">
        <v>572766.00150000001</v>
      </c>
      <c r="O206" s="18">
        <f>IFERROR(Table1[[#This Row],[30-7 stock lvl]]/Table1[[#This Row],[26-Aug]],0)</f>
        <v>4.4891561339787138</v>
      </c>
      <c r="P206" s="1" t="s">
        <v>823</v>
      </c>
    </row>
    <row r="207" spans="1:16" x14ac:dyDescent="0.25">
      <c r="A207" s="2">
        <v>200204020002</v>
      </c>
      <c r="B207" s="10" t="s">
        <v>500</v>
      </c>
      <c r="C207" s="6" t="s">
        <v>501</v>
      </c>
      <c r="E207" s="21" t="s">
        <v>186</v>
      </c>
      <c r="G207" s="1" t="s">
        <v>129</v>
      </c>
      <c r="H207" s="1">
        <v>0</v>
      </c>
      <c r="I207" s="1" t="s">
        <v>763</v>
      </c>
      <c r="J207" s="24">
        <v>44701</v>
      </c>
      <c r="K207" s="16">
        <v>66818.719999999987</v>
      </c>
      <c r="L207" s="19">
        <v>70663.909999999989</v>
      </c>
      <c r="M207" s="19">
        <v>84411.701499999996</v>
      </c>
      <c r="N207" s="17">
        <v>378321.12300000002</v>
      </c>
      <c r="O207" s="18">
        <f>IFERROR(Table1[[#This Row],[30-7 stock lvl]]/Table1[[#This Row],[26-Aug]],0)</f>
        <v>4.4818563810137153</v>
      </c>
      <c r="P207" s="1" t="s">
        <v>823</v>
      </c>
    </row>
    <row r="208" spans="1:16" x14ac:dyDescent="0.25">
      <c r="A208" s="2">
        <v>100202001046</v>
      </c>
      <c r="B208" s="10" t="s">
        <v>72</v>
      </c>
      <c r="C208" s="6" t="s">
        <v>73</v>
      </c>
      <c r="E208" s="21" t="s">
        <v>13</v>
      </c>
      <c r="G208" s="1" t="s">
        <v>7</v>
      </c>
      <c r="H208" s="1">
        <v>0</v>
      </c>
      <c r="I208" s="1" t="s">
        <v>782</v>
      </c>
      <c r="J208" s="24">
        <v>44228</v>
      </c>
      <c r="K208" s="16">
        <v>178553.8302</v>
      </c>
      <c r="L208" s="19">
        <v>176781.35029999999</v>
      </c>
      <c r="M208" s="19">
        <v>170969.84820000001</v>
      </c>
      <c r="N208" s="17">
        <v>760561.92099999997</v>
      </c>
      <c r="O208" s="18">
        <f>IFERROR(Table1[[#This Row],[30-7 stock lvl]]/Table1[[#This Row],[26-Aug]],0)</f>
        <v>4.4485149224107454</v>
      </c>
      <c r="P208" s="1" t="s">
        <v>823</v>
      </c>
    </row>
    <row r="209" spans="1:16" x14ac:dyDescent="0.25">
      <c r="A209" s="2">
        <v>100202001038</v>
      </c>
      <c r="B209" s="10" t="s">
        <v>68</v>
      </c>
      <c r="C209" s="6" t="s">
        <v>69</v>
      </c>
      <c r="E209" s="21" t="s">
        <v>6</v>
      </c>
      <c r="G209" s="1" t="s">
        <v>7</v>
      </c>
      <c r="H209" s="1">
        <v>0</v>
      </c>
      <c r="I209" s="1" t="s">
        <v>782</v>
      </c>
      <c r="J209" s="24">
        <v>44197</v>
      </c>
      <c r="K209" s="16">
        <v>635241.70199999993</v>
      </c>
      <c r="L209" s="19">
        <v>800192.16150000016</v>
      </c>
      <c r="M209" s="19">
        <v>504498.5122</v>
      </c>
      <c r="N209" s="17">
        <v>2234483.327</v>
      </c>
      <c r="O209" s="18">
        <f>IFERROR(Table1[[#This Row],[30-7 stock lvl]]/Table1[[#This Row],[26-Aug]],0)</f>
        <v>4.4291177733229397</v>
      </c>
      <c r="P209" s="1" t="s">
        <v>825</v>
      </c>
    </row>
    <row r="210" spans="1:16" x14ac:dyDescent="0.25">
      <c r="A210" s="2">
        <v>100202001026</v>
      </c>
      <c r="B210" s="10" t="s">
        <v>52</v>
      </c>
      <c r="C210" s="9" t="s">
        <v>53</v>
      </c>
      <c r="E210" s="21" t="s">
        <v>13</v>
      </c>
      <c r="G210" s="1" t="s">
        <v>7</v>
      </c>
      <c r="H210" s="1">
        <v>0</v>
      </c>
      <c r="I210" s="1" t="s">
        <v>782</v>
      </c>
      <c r="J210" s="24">
        <v>43101</v>
      </c>
      <c r="K210" s="16">
        <v>164484.09179999999</v>
      </c>
      <c r="L210" s="19">
        <v>174022.25449999998</v>
      </c>
      <c r="M210" s="19">
        <v>163879.9748</v>
      </c>
      <c r="N210" s="17">
        <v>725499.48899999994</v>
      </c>
      <c r="O210" s="18">
        <f>IFERROR(Table1[[#This Row],[30-7 stock lvl]]/Table1[[#This Row],[26-Aug]],0)</f>
        <v>4.4270173331757183</v>
      </c>
      <c r="P210" s="1" t="s">
        <v>823</v>
      </c>
    </row>
    <row r="211" spans="1:16" x14ac:dyDescent="0.25">
      <c r="A211" s="2">
        <v>200204030050</v>
      </c>
      <c r="B211" s="10" t="s">
        <v>596</v>
      </c>
      <c r="C211" s="6" t="s">
        <v>738</v>
      </c>
      <c r="E211" s="21" t="s">
        <v>158</v>
      </c>
      <c r="G211" s="1" t="s">
        <v>7</v>
      </c>
      <c r="H211" s="1">
        <v>0</v>
      </c>
      <c r="I211" s="1" t="s">
        <v>785</v>
      </c>
      <c r="J211" s="24">
        <v>45930</v>
      </c>
      <c r="K211" s="16">
        <v>80650.606100000019</v>
      </c>
      <c r="L211" s="19">
        <v>119864.53149999997</v>
      </c>
      <c r="M211" s="19">
        <v>139826.8175</v>
      </c>
      <c r="N211" s="17">
        <v>617162.91650000005</v>
      </c>
      <c r="O211" s="18">
        <f>IFERROR(Table1[[#This Row],[30-7 stock lvl]]/Table1[[#This Row],[26-Aug]],0)</f>
        <v>4.4137664543498607</v>
      </c>
      <c r="P211" s="1" t="s">
        <v>823</v>
      </c>
    </row>
    <row r="212" spans="1:16" x14ac:dyDescent="0.25">
      <c r="A212" s="2">
        <v>200201010939</v>
      </c>
      <c r="B212" s="10" t="s">
        <v>282</v>
      </c>
      <c r="C212" s="6" t="s">
        <v>283</v>
      </c>
      <c r="E212" s="21" t="s">
        <v>10</v>
      </c>
      <c r="G212" s="1" t="s">
        <v>7</v>
      </c>
      <c r="H212" s="1">
        <v>0</v>
      </c>
      <c r="I212" s="1" t="s">
        <v>782</v>
      </c>
      <c r="J212" s="24">
        <v>45497</v>
      </c>
      <c r="K212" s="16">
        <v>219669.45079999996</v>
      </c>
      <c r="L212" s="19">
        <v>228979.01</v>
      </c>
      <c r="M212" s="19">
        <v>228877.1949</v>
      </c>
      <c r="N212" s="17">
        <v>1009005.3055</v>
      </c>
      <c r="O212" s="18">
        <f>IFERROR(Table1[[#This Row],[30-7 stock lvl]]/Table1[[#This Row],[26-Aug]],0)</f>
        <v>4.408500837931232</v>
      </c>
      <c r="P212" s="1" t="s">
        <v>823</v>
      </c>
    </row>
    <row r="213" spans="1:16" x14ac:dyDescent="0.25">
      <c r="A213" s="2">
        <v>200201010300</v>
      </c>
      <c r="B213" s="10" t="s">
        <v>205</v>
      </c>
      <c r="C213" s="6" t="s">
        <v>206</v>
      </c>
      <c r="E213" s="21" t="s">
        <v>6</v>
      </c>
      <c r="G213" s="1" t="s">
        <v>7</v>
      </c>
      <c r="H213" s="1">
        <v>0</v>
      </c>
      <c r="I213" s="1" t="s">
        <v>782</v>
      </c>
      <c r="J213" s="24">
        <v>44531</v>
      </c>
      <c r="K213" s="16">
        <v>290790.28950000001</v>
      </c>
      <c r="L213" s="19">
        <v>339963.13749999995</v>
      </c>
      <c r="M213" s="19">
        <v>286196.0074</v>
      </c>
      <c r="N213" s="17">
        <v>1259452.8695</v>
      </c>
      <c r="O213" s="18">
        <f>IFERROR(Table1[[#This Row],[30-7 stock lvl]]/Table1[[#This Row],[26-Aug]],0)</f>
        <v>4.4006654073958966</v>
      </c>
      <c r="P213" s="1" t="s">
        <v>823</v>
      </c>
    </row>
    <row r="214" spans="1:16" x14ac:dyDescent="0.25">
      <c r="A214" s="2">
        <v>100202001020</v>
      </c>
      <c r="B214" s="10" t="s">
        <v>44</v>
      </c>
      <c r="C214" s="6" t="s">
        <v>45</v>
      </c>
      <c r="E214" s="21" t="s">
        <v>13</v>
      </c>
      <c r="G214" s="1" t="s">
        <v>7</v>
      </c>
      <c r="H214" s="1">
        <v>0</v>
      </c>
      <c r="I214" s="1" t="s">
        <v>782</v>
      </c>
      <c r="J214" s="24">
        <v>42370</v>
      </c>
      <c r="K214" s="16">
        <v>271720.92559999996</v>
      </c>
      <c r="L214" s="19">
        <v>258085.54850000003</v>
      </c>
      <c r="M214" s="19">
        <v>238474.94029999999</v>
      </c>
      <c r="N214" s="17">
        <v>1048660.2290000001</v>
      </c>
      <c r="O214" s="18">
        <f>IFERROR(Table1[[#This Row],[30-7 stock lvl]]/Table1[[#This Row],[26-Aug]],0)</f>
        <v>4.3973602747558802</v>
      </c>
      <c r="P214" s="1" t="s">
        <v>823</v>
      </c>
    </row>
    <row r="215" spans="1:16" x14ac:dyDescent="0.25">
      <c r="A215" s="2">
        <v>200205010500</v>
      </c>
      <c r="B215" s="10" t="s">
        <v>615</v>
      </c>
      <c r="C215" s="6" t="s">
        <v>616</v>
      </c>
      <c r="E215" s="21" t="s">
        <v>210</v>
      </c>
      <c r="G215" s="1" t="s">
        <v>129</v>
      </c>
      <c r="H215" s="1">
        <v>0</v>
      </c>
      <c r="I215" s="1" t="s">
        <v>769</v>
      </c>
      <c r="J215" s="24">
        <v>45227</v>
      </c>
      <c r="K215" s="16">
        <v>169450.19050000003</v>
      </c>
      <c r="L215" s="19">
        <v>144543.1715</v>
      </c>
      <c r="M215" s="19">
        <v>151594.47055</v>
      </c>
      <c r="N215" s="17">
        <v>665655.61494999996</v>
      </c>
      <c r="O215" s="18">
        <f>IFERROR(Table1[[#This Row],[30-7 stock lvl]]/Table1[[#This Row],[26-Aug]],0)</f>
        <v>4.3910283306174325</v>
      </c>
      <c r="P215" s="1" t="s">
        <v>823</v>
      </c>
    </row>
    <row r="216" spans="1:16" x14ac:dyDescent="0.25">
      <c r="A216" s="2">
        <v>200204030033</v>
      </c>
      <c r="B216" s="10" t="s">
        <v>567</v>
      </c>
      <c r="C216" s="6" t="s">
        <v>568</v>
      </c>
      <c r="E216" s="21" t="s">
        <v>491</v>
      </c>
      <c r="G216" s="1" t="s">
        <v>7</v>
      </c>
      <c r="H216" s="1">
        <v>0</v>
      </c>
      <c r="I216" s="1" t="s">
        <v>785</v>
      </c>
      <c r="J216" s="24">
        <v>45325</v>
      </c>
      <c r="K216" s="16">
        <v>120641.68090000001</v>
      </c>
      <c r="L216" s="19">
        <v>153575.17150000003</v>
      </c>
      <c r="M216" s="19">
        <v>154323.81280000001</v>
      </c>
      <c r="N216" s="17">
        <v>676143.79200000002</v>
      </c>
      <c r="O216" s="18">
        <f>IFERROR(Table1[[#This Row],[30-7 stock lvl]]/Table1[[#This Row],[26-Aug]],0)</f>
        <v>4.3813315633684233</v>
      </c>
      <c r="P216" s="1" t="s">
        <v>823</v>
      </c>
    </row>
    <row r="217" spans="1:16" x14ac:dyDescent="0.25">
      <c r="A217" s="2">
        <v>200201010966</v>
      </c>
      <c r="B217" s="10" t="s">
        <v>333</v>
      </c>
      <c r="C217" s="6" t="s">
        <v>334</v>
      </c>
      <c r="E217" s="21" t="s">
        <v>210</v>
      </c>
      <c r="G217" s="1" t="s">
        <v>129</v>
      </c>
      <c r="H217" s="1">
        <v>0</v>
      </c>
      <c r="I217" s="1" t="s">
        <v>782</v>
      </c>
      <c r="J217" s="24">
        <v>45877</v>
      </c>
      <c r="K217" s="16">
        <v>128404.92499999999</v>
      </c>
      <c r="L217" s="19">
        <v>130027.69</v>
      </c>
      <c r="M217" s="19">
        <v>174643.77499999999</v>
      </c>
      <c r="N217" s="17">
        <v>764988.29249999998</v>
      </c>
      <c r="O217" s="18">
        <f>IFERROR(Table1[[#This Row],[30-7 stock lvl]]/Table1[[#This Row],[26-Aug]],0)</f>
        <v>4.3802780402565169</v>
      </c>
      <c r="P217" s="1" t="s">
        <v>823</v>
      </c>
    </row>
    <row r="218" spans="1:16" x14ac:dyDescent="0.25">
      <c r="A218" s="2">
        <v>200201010915</v>
      </c>
      <c r="B218" s="10" t="s">
        <v>241</v>
      </c>
      <c r="C218" s="6" t="s">
        <v>242</v>
      </c>
      <c r="E218" s="21" t="s">
        <v>6</v>
      </c>
      <c r="G218" s="1" t="s">
        <v>7</v>
      </c>
      <c r="H218" s="1">
        <v>0</v>
      </c>
      <c r="I218" s="1" t="s">
        <v>782</v>
      </c>
      <c r="J218" s="24">
        <v>45068</v>
      </c>
      <c r="K218" s="16">
        <v>180155.80690000003</v>
      </c>
      <c r="L218" s="19">
        <v>178409.08749999994</v>
      </c>
      <c r="M218" s="19">
        <v>160656.5926</v>
      </c>
      <c r="N218" s="17">
        <v>694696.29749999999</v>
      </c>
      <c r="O218" s="18">
        <f>IFERROR(Table1[[#This Row],[30-7 stock lvl]]/Table1[[#This Row],[26-Aug]],0)</f>
        <v>4.3241070052421859</v>
      </c>
      <c r="P218" s="1" t="s">
        <v>823</v>
      </c>
    </row>
    <row r="219" spans="1:16" x14ac:dyDescent="0.25">
      <c r="A219" s="2">
        <v>100302001012</v>
      </c>
      <c r="B219" s="10" t="s">
        <v>680</v>
      </c>
      <c r="C219" s="6" t="s">
        <v>87</v>
      </c>
      <c r="E219" s="21" t="s">
        <v>79</v>
      </c>
      <c r="G219" s="1" t="s">
        <v>7</v>
      </c>
      <c r="H219" s="1">
        <v>0</v>
      </c>
      <c r="I219" s="1" t="s">
        <v>784</v>
      </c>
      <c r="J219" s="24">
        <v>43101</v>
      </c>
      <c r="K219" s="16">
        <v>128240.6035</v>
      </c>
      <c r="L219" s="19">
        <v>141710.56999999998</v>
      </c>
      <c r="M219" s="19">
        <v>136112.33799999999</v>
      </c>
      <c r="N219" s="17">
        <v>588384.56099999999</v>
      </c>
      <c r="O219" s="18">
        <f>IFERROR(Table1[[#This Row],[30-7 stock lvl]]/Table1[[#This Row],[26-Aug]],0)</f>
        <v>4.3227863810553311</v>
      </c>
      <c r="P219" s="1" t="s">
        <v>823</v>
      </c>
    </row>
    <row r="220" spans="1:16" x14ac:dyDescent="0.25">
      <c r="A220" s="2">
        <v>200205010906</v>
      </c>
      <c r="B220" s="10" t="s">
        <v>635</v>
      </c>
      <c r="C220" s="6" t="s">
        <v>636</v>
      </c>
      <c r="E220" s="21" t="s">
        <v>245</v>
      </c>
      <c r="G220" s="1" t="s">
        <v>7</v>
      </c>
      <c r="H220" s="1">
        <v>0</v>
      </c>
      <c r="I220" s="1" t="s">
        <v>770</v>
      </c>
      <c r="J220" s="24">
        <v>45431</v>
      </c>
      <c r="K220" s="16">
        <v>135314.33580000003</v>
      </c>
      <c r="L220" s="19">
        <v>160554.66099999999</v>
      </c>
      <c r="M220" s="19">
        <v>155075.86730000001</v>
      </c>
      <c r="N220" s="17">
        <v>670262.38249999995</v>
      </c>
      <c r="O220" s="18">
        <f>IFERROR(Table1[[#This Row],[30-7 stock lvl]]/Table1[[#This Row],[26-Aug]],0)</f>
        <v>4.3221578842009798</v>
      </c>
      <c r="P220" s="1" t="s">
        <v>824</v>
      </c>
    </row>
    <row r="221" spans="1:16" x14ac:dyDescent="0.25">
      <c r="A221" s="2">
        <v>200201010921</v>
      </c>
      <c r="B221" s="10" t="s">
        <v>254</v>
      </c>
      <c r="C221" s="6" t="s">
        <v>255</v>
      </c>
      <c r="E221" s="21" t="s">
        <v>10</v>
      </c>
      <c r="G221" s="1" t="s">
        <v>7</v>
      </c>
      <c r="H221" s="1">
        <v>0</v>
      </c>
      <c r="I221" s="1" t="s">
        <v>782</v>
      </c>
      <c r="J221" s="24">
        <v>45130</v>
      </c>
      <c r="K221" s="16">
        <v>205862.32999999996</v>
      </c>
      <c r="L221" s="19">
        <v>179944.82500000001</v>
      </c>
      <c r="M221" s="19">
        <v>160893.58259999999</v>
      </c>
      <c r="N221" s="17">
        <v>693623.28</v>
      </c>
      <c r="O221" s="18">
        <f>IFERROR(Table1[[#This Row],[30-7 stock lvl]]/Table1[[#This Row],[26-Aug]],0)</f>
        <v>4.311068650416142</v>
      </c>
      <c r="P221" s="1" t="s">
        <v>823</v>
      </c>
    </row>
    <row r="222" spans="1:16" x14ac:dyDescent="0.25">
      <c r="A222" s="2">
        <v>200201010964</v>
      </c>
      <c r="B222" s="10" t="s">
        <v>691</v>
      </c>
      <c r="C222" s="6" t="s">
        <v>775</v>
      </c>
      <c r="E222" s="21" t="s">
        <v>210</v>
      </c>
      <c r="G222" s="1" t="s">
        <v>129</v>
      </c>
      <c r="H222" s="1">
        <v>0</v>
      </c>
      <c r="I222" s="1" t="s">
        <v>782</v>
      </c>
      <c r="J222" s="24">
        <v>45810</v>
      </c>
      <c r="K222" s="16">
        <v>135326.83000000005</v>
      </c>
      <c r="L222" s="19">
        <v>127226.13</v>
      </c>
      <c r="M222" s="19">
        <v>160155.62700000001</v>
      </c>
      <c r="N222" s="17">
        <v>690050.495</v>
      </c>
      <c r="O222" s="18">
        <f>IFERROR(Table1[[#This Row],[30-7 stock lvl]]/Table1[[#This Row],[26-Aug]],0)</f>
        <v>4.3086247291205071</v>
      </c>
      <c r="P222" s="1" t="s">
        <v>823</v>
      </c>
    </row>
    <row r="223" spans="1:16" x14ac:dyDescent="0.25">
      <c r="A223" s="2">
        <v>200201010964</v>
      </c>
      <c r="B223" s="10" t="s">
        <v>778</v>
      </c>
      <c r="C223" s="8" t="s">
        <v>775</v>
      </c>
      <c r="D223" s="8"/>
      <c r="E223" s="21" t="s">
        <v>210</v>
      </c>
      <c r="G223" s="1" t="s">
        <v>129</v>
      </c>
      <c r="H223" s="1">
        <v>0</v>
      </c>
      <c r="I223" s="1" t="s">
        <v>782</v>
      </c>
      <c r="J223" s="24">
        <v>45810</v>
      </c>
      <c r="K223" s="16">
        <v>135326.83000000005</v>
      </c>
      <c r="L223" s="19">
        <v>127226.13</v>
      </c>
      <c r="M223" s="19">
        <v>160155.62700000001</v>
      </c>
      <c r="N223" s="17">
        <v>690050.495</v>
      </c>
      <c r="O223" s="18">
        <f>IFERROR(Table1[[#This Row],[30-7 stock lvl]]/Table1[[#This Row],[26-Aug]],0)</f>
        <v>4.3086247291205071</v>
      </c>
      <c r="P223" s="1" t="s">
        <v>823</v>
      </c>
    </row>
    <row r="224" spans="1:16" x14ac:dyDescent="0.25">
      <c r="A224" s="2">
        <v>200205010910</v>
      </c>
      <c r="B224" s="10" t="s">
        <v>642</v>
      </c>
      <c r="C224" s="6" t="s">
        <v>643</v>
      </c>
      <c r="E224" s="21" t="s">
        <v>245</v>
      </c>
      <c r="G224" s="1" t="s">
        <v>7</v>
      </c>
      <c r="H224" s="1">
        <v>0</v>
      </c>
      <c r="I224" s="1" t="s">
        <v>769</v>
      </c>
      <c r="J224" s="24">
        <v>45521</v>
      </c>
      <c r="K224" s="16">
        <v>174186.02089999997</v>
      </c>
      <c r="L224" s="19">
        <v>179632.37</v>
      </c>
      <c r="M224" s="19">
        <v>176499.63589999999</v>
      </c>
      <c r="N224" s="17">
        <v>758179.50349999999</v>
      </c>
      <c r="O224" s="18">
        <f>IFERROR(Table1[[#This Row],[30-7 stock lvl]]/Table1[[#This Row],[26-Aug]],0)</f>
        <v>4.2956434421743754</v>
      </c>
      <c r="P224" s="1" t="s">
        <v>824</v>
      </c>
    </row>
    <row r="225" spans="1:16" x14ac:dyDescent="0.25">
      <c r="A225" s="2">
        <v>200201010917</v>
      </c>
      <c r="B225" s="10" t="s">
        <v>246</v>
      </c>
      <c r="C225" s="6" t="s">
        <v>247</v>
      </c>
      <c r="E225" s="21" t="s">
        <v>13</v>
      </c>
      <c r="G225" s="1" t="s">
        <v>7</v>
      </c>
      <c r="H225" s="1">
        <v>0</v>
      </c>
      <c r="I225" s="1" t="s">
        <v>782</v>
      </c>
      <c r="J225" s="24">
        <v>45088</v>
      </c>
      <c r="K225" s="16">
        <v>135183.07070000004</v>
      </c>
      <c r="L225" s="19">
        <v>151223.45499999999</v>
      </c>
      <c r="M225" s="19">
        <v>175640.48019999999</v>
      </c>
      <c r="N225" s="17">
        <v>753783.96050000004</v>
      </c>
      <c r="O225" s="18">
        <f>IFERROR(Table1[[#This Row],[30-7 stock lvl]]/Table1[[#This Row],[26-Aug]],0)</f>
        <v>4.2916300367755431</v>
      </c>
      <c r="P225" s="1" t="s">
        <v>824</v>
      </c>
    </row>
    <row r="226" spans="1:16" x14ac:dyDescent="0.25">
      <c r="A226" s="2">
        <v>200201010916</v>
      </c>
      <c r="B226" s="10" t="s">
        <v>243</v>
      </c>
      <c r="C226" s="6" t="s">
        <v>244</v>
      </c>
      <c r="E226" s="21" t="s">
        <v>245</v>
      </c>
      <c r="G226" s="1" t="s">
        <v>7</v>
      </c>
      <c r="H226" s="1">
        <v>0</v>
      </c>
      <c r="I226" s="1" t="s">
        <v>764</v>
      </c>
      <c r="J226" s="24">
        <v>45254</v>
      </c>
      <c r="K226" s="16">
        <v>134143.32379999998</v>
      </c>
      <c r="L226" s="19">
        <v>169468.44219999996</v>
      </c>
      <c r="M226" s="19">
        <v>167181.87539999999</v>
      </c>
      <c r="N226" s="17">
        <v>714008.56</v>
      </c>
      <c r="O226" s="18">
        <f>IFERROR(Table1[[#This Row],[30-7 stock lvl]]/Table1[[#This Row],[26-Aug]],0)</f>
        <v>4.2708490875082035</v>
      </c>
      <c r="P226" s="1" t="s">
        <v>823</v>
      </c>
    </row>
    <row r="227" spans="1:16" x14ac:dyDescent="0.25">
      <c r="A227" s="2">
        <v>100202001007</v>
      </c>
      <c r="B227" s="10" t="s">
        <v>18</v>
      </c>
      <c r="C227" s="6" t="s">
        <v>19</v>
      </c>
      <c r="E227" s="21" t="s">
        <v>6</v>
      </c>
      <c r="G227" s="1" t="s">
        <v>7</v>
      </c>
      <c r="H227" s="1">
        <v>0</v>
      </c>
      <c r="I227" s="1" t="s">
        <v>782</v>
      </c>
      <c r="J227" s="24">
        <v>42370</v>
      </c>
      <c r="K227" s="16">
        <v>246914.15740000003</v>
      </c>
      <c r="L227" s="19">
        <v>278288.47779999994</v>
      </c>
      <c r="M227" s="19">
        <v>230549.63320000001</v>
      </c>
      <c r="N227" s="17">
        <v>983702.86399999994</v>
      </c>
      <c r="O227" s="18">
        <f>IFERROR(Table1[[#This Row],[30-7 stock lvl]]/Table1[[#This Row],[26-Aug]],0)</f>
        <v>4.266772626554757</v>
      </c>
      <c r="P227" s="1" t="s">
        <v>824</v>
      </c>
    </row>
    <row r="228" spans="1:16" x14ac:dyDescent="0.25">
      <c r="A228" s="2">
        <v>100502001004</v>
      </c>
      <c r="B228" s="10" t="s">
        <v>118</v>
      </c>
      <c r="C228" s="6" t="s">
        <v>119</v>
      </c>
      <c r="E228" s="21" t="s">
        <v>13</v>
      </c>
      <c r="G228" s="1" t="s">
        <v>7</v>
      </c>
      <c r="H228" s="1">
        <v>0</v>
      </c>
      <c r="I228" s="1" t="s">
        <v>782</v>
      </c>
      <c r="J228" s="24">
        <v>42370</v>
      </c>
      <c r="K228" s="16">
        <v>213146.85719999994</v>
      </c>
      <c r="L228" s="19">
        <v>222373.06</v>
      </c>
      <c r="M228" s="19">
        <v>215332.3927</v>
      </c>
      <c r="N228" s="17">
        <v>915719.72549999994</v>
      </c>
      <c r="O228" s="18">
        <f>IFERROR(Table1[[#This Row],[30-7 stock lvl]]/Table1[[#This Row],[26-Aug]],0)</f>
        <v>4.2525869611070366</v>
      </c>
      <c r="P228" s="1" t="s">
        <v>823</v>
      </c>
    </row>
    <row r="229" spans="1:16" x14ac:dyDescent="0.25">
      <c r="A229" s="2">
        <v>100502001003</v>
      </c>
      <c r="B229" s="10" t="s">
        <v>116</v>
      </c>
      <c r="C229" s="6" t="s">
        <v>117</v>
      </c>
      <c r="E229" s="21" t="s">
        <v>13</v>
      </c>
      <c r="G229" s="1" t="s">
        <v>7</v>
      </c>
      <c r="H229" s="1">
        <v>0</v>
      </c>
      <c r="I229" s="1" t="s">
        <v>782</v>
      </c>
      <c r="J229" s="24">
        <v>43101</v>
      </c>
      <c r="K229" s="16">
        <v>93748.503500000006</v>
      </c>
      <c r="L229" s="19">
        <v>101031.34000000001</v>
      </c>
      <c r="M229" s="19">
        <v>110002.55899999999</v>
      </c>
      <c r="N229" s="17">
        <v>465369.0575</v>
      </c>
      <c r="O229" s="18">
        <f>IFERROR(Table1[[#This Row],[30-7 stock lvl]]/Table1[[#This Row],[26-Aug]],0)</f>
        <v>4.2305293779574713</v>
      </c>
      <c r="P229" s="1" t="s">
        <v>823</v>
      </c>
    </row>
    <row r="230" spans="1:16" x14ac:dyDescent="0.25">
      <c r="A230" s="2">
        <v>100302001025</v>
      </c>
      <c r="B230" s="10" t="s">
        <v>102</v>
      </c>
      <c r="C230" s="6" t="s">
        <v>103</v>
      </c>
      <c r="D230" s="6" t="s">
        <v>827</v>
      </c>
      <c r="E230" s="21" t="s">
        <v>13</v>
      </c>
      <c r="G230" s="1" t="s">
        <v>7</v>
      </c>
      <c r="H230" s="1">
        <v>0</v>
      </c>
      <c r="I230" s="1" t="s">
        <v>782</v>
      </c>
      <c r="J230" s="24">
        <v>43831</v>
      </c>
      <c r="K230" s="16">
        <v>120769.22630000002</v>
      </c>
      <c r="L230" s="19">
        <v>129316.41</v>
      </c>
      <c r="M230" s="19">
        <v>119245.6594</v>
      </c>
      <c r="N230" s="17">
        <v>500328.84399999998</v>
      </c>
      <c r="O230" s="18">
        <f>IFERROR(Table1[[#This Row],[30-7 stock lvl]]/Table1[[#This Row],[26-Aug]],0)</f>
        <v>4.1957824420399819</v>
      </c>
      <c r="P230" s="1" t="s">
        <v>823</v>
      </c>
    </row>
    <row r="231" spans="1:16" x14ac:dyDescent="0.25">
      <c r="A231" s="2">
        <v>101202001001</v>
      </c>
      <c r="B231" s="10" t="s">
        <v>156</v>
      </c>
      <c r="C231" s="6" t="s">
        <v>157</v>
      </c>
      <c r="E231" s="21" t="s">
        <v>158</v>
      </c>
      <c r="F231" s="1" t="s">
        <v>29</v>
      </c>
      <c r="G231" s="1" t="s">
        <v>7</v>
      </c>
      <c r="H231" s="1">
        <v>0</v>
      </c>
      <c r="I231" s="1" t="s">
        <v>763</v>
      </c>
      <c r="J231" s="24">
        <v>43831</v>
      </c>
      <c r="K231" s="16">
        <v>102408.88320000001</v>
      </c>
      <c r="L231" s="19">
        <v>132483.60999999999</v>
      </c>
      <c r="M231" s="19">
        <v>125308.3982</v>
      </c>
      <c r="N231" s="17">
        <v>525547.03899999999</v>
      </c>
      <c r="O231" s="18">
        <f>IFERROR(Table1[[#This Row],[30-7 stock lvl]]/Table1[[#This Row],[26-Aug]],0)</f>
        <v>4.1940288643798178</v>
      </c>
      <c r="P231" s="1" t="s">
        <v>823</v>
      </c>
    </row>
    <row r="232" spans="1:16" x14ac:dyDescent="0.25">
      <c r="A232" s="2">
        <v>200203010100</v>
      </c>
      <c r="B232" s="10" t="s">
        <v>441</v>
      </c>
      <c r="C232" s="6" t="s">
        <v>442</v>
      </c>
      <c r="E232" s="21" t="s">
        <v>83</v>
      </c>
      <c r="G232" s="1" t="s">
        <v>7</v>
      </c>
      <c r="H232" s="1">
        <v>0</v>
      </c>
      <c r="I232" s="1" t="s">
        <v>767</v>
      </c>
      <c r="J232" s="24">
        <v>45164</v>
      </c>
      <c r="K232" s="16">
        <v>279594.41509999998</v>
      </c>
      <c r="L232" s="19">
        <v>287369.45649999991</v>
      </c>
      <c r="M232" s="19">
        <v>259571.75945000001</v>
      </c>
      <c r="N232" s="17">
        <v>1085858.9809999999</v>
      </c>
      <c r="O232" s="18">
        <f>IFERROR(Table1[[#This Row],[30-7 stock lvl]]/Table1[[#This Row],[26-Aug]],0)</f>
        <v>4.1832708739224902</v>
      </c>
      <c r="P232" s="1" t="s">
        <v>823</v>
      </c>
    </row>
    <row r="233" spans="1:16" x14ac:dyDescent="0.25">
      <c r="A233" s="2">
        <v>100302001010</v>
      </c>
      <c r="B233" s="10" t="s">
        <v>85</v>
      </c>
      <c r="C233" s="6" t="s">
        <v>86</v>
      </c>
      <c r="E233" s="21" t="s">
        <v>79</v>
      </c>
      <c r="G233" s="1" t="s">
        <v>7</v>
      </c>
      <c r="H233" s="1">
        <v>0</v>
      </c>
      <c r="I233" s="1" t="s">
        <v>784</v>
      </c>
      <c r="J233" s="24">
        <v>43101</v>
      </c>
      <c r="K233" s="16">
        <v>136018.90370000002</v>
      </c>
      <c r="L233" s="19">
        <v>155012.54999999999</v>
      </c>
      <c r="M233" s="19">
        <v>149608.0148</v>
      </c>
      <c r="N233" s="17">
        <v>624752.04150000005</v>
      </c>
      <c r="O233" s="18">
        <f>IFERROR(Table1[[#This Row],[30-7 stock lvl]]/Table1[[#This Row],[26-Aug]],0)</f>
        <v>4.1759262853342802</v>
      </c>
      <c r="P233" s="1" t="s">
        <v>823</v>
      </c>
    </row>
    <row r="234" spans="1:16" x14ac:dyDescent="0.25">
      <c r="A234" s="2">
        <v>200204030018</v>
      </c>
      <c r="B234" s="10" t="s">
        <v>539</v>
      </c>
      <c r="C234" s="6" t="s">
        <v>540</v>
      </c>
      <c r="E234" s="21" t="s">
        <v>491</v>
      </c>
      <c r="F234" s="1" t="s">
        <v>29</v>
      </c>
      <c r="G234" s="1" t="s">
        <v>7</v>
      </c>
      <c r="H234" s="1">
        <v>0</v>
      </c>
      <c r="I234" s="1" t="s">
        <v>785</v>
      </c>
      <c r="J234" s="24">
        <v>45157</v>
      </c>
      <c r="K234" s="16">
        <v>89775.45150000001</v>
      </c>
      <c r="L234" s="19">
        <v>107040.21249999998</v>
      </c>
      <c r="M234" s="19">
        <v>113429.64599999999</v>
      </c>
      <c r="N234" s="17">
        <v>473567.52</v>
      </c>
      <c r="O234" s="18">
        <f>IFERROR(Table1[[#This Row],[30-7 stock lvl]]/Table1[[#This Row],[26-Aug]],0)</f>
        <v>4.1749889618803895</v>
      </c>
      <c r="P234" s="1" t="s">
        <v>823</v>
      </c>
    </row>
    <row r="235" spans="1:16" x14ac:dyDescent="0.25">
      <c r="A235" s="2">
        <v>101102001003</v>
      </c>
      <c r="B235" s="10" t="s">
        <v>154</v>
      </c>
      <c r="C235" s="6" t="s">
        <v>155</v>
      </c>
      <c r="E235" s="21" t="s">
        <v>10</v>
      </c>
      <c r="G235" s="1" t="s">
        <v>7</v>
      </c>
      <c r="H235" s="1">
        <v>0</v>
      </c>
      <c r="I235" s="1" t="s">
        <v>782</v>
      </c>
      <c r="J235" s="24">
        <v>43748</v>
      </c>
      <c r="K235" s="16">
        <v>143750.91880000001</v>
      </c>
      <c r="L235" s="19">
        <v>131960.6</v>
      </c>
      <c r="M235" s="19">
        <v>133385.5779</v>
      </c>
      <c r="N235" s="17">
        <v>555949.53</v>
      </c>
      <c r="O235" s="18">
        <f>IFERROR(Table1[[#This Row],[30-7 stock lvl]]/Table1[[#This Row],[26-Aug]],0)</f>
        <v>4.1679883144248091</v>
      </c>
      <c r="P235" s="1" t="s">
        <v>823</v>
      </c>
    </row>
    <row r="236" spans="1:16" x14ac:dyDescent="0.25">
      <c r="A236" s="2">
        <v>200205010909</v>
      </c>
      <c r="B236" s="10" t="s">
        <v>640</v>
      </c>
      <c r="C236" s="6" t="s">
        <v>641</v>
      </c>
      <c r="E236" s="21" t="s">
        <v>245</v>
      </c>
      <c r="F236" s="1" t="s">
        <v>29</v>
      </c>
      <c r="G236" s="1" t="s">
        <v>7</v>
      </c>
      <c r="H236" s="1">
        <v>0</v>
      </c>
      <c r="I236" s="1" t="s">
        <v>771</v>
      </c>
      <c r="J236" s="24">
        <v>45519</v>
      </c>
      <c r="K236" s="16">
        <v>99667.219900000011</v>
      </c>
      <c r="L236" s="19">
        <v>99671.683499999999</v>
      </c>
      <c r="M236" s="19">
        <v>137327.4479</v>
      </c>
      <c r="N236" s="17">
        <v>569933.17350000003</v>
      </c>
      <c r="O236" s="18">
        <f>IFERROR(Table1[[#This Row],[30-7 stock lvl]]/Table1[[#This Row],[26-Aug]],0)</f>
        <v>4.1501766923901311</v>
      </c>
      <c r="P236" s="1" t="s">
        <v>825</v>
      </c>
    </row>
    <row r="237" spans="1:16" x14ac:dyDescent="0.25">
      <c r="A237" s="2">
        <v>100702001002</v>
      </c>
      <c r="B237" s="10" t="s">
        <v>130</v>
      </c>
      <c r="C237" s="6" t="s">
        <v>131</v>
      </c>
      <c r="E237" s="21" t="s">
        <v>79</v>
      </c>
      <c r="G237" s="1" t="s">
        <v>7</v>
      </c>
      <c r="H237" s="1">
        <v>0</v>
      </c>
      <c r="I237" s="1" t="s">
        <v>784</v>
      </c>
      <c r="J237" s="24">
        <v>43101</v>
      </c>
      <c r="K237" s="16">
        <v>265172.51300000004</v>
      </c>
      <c r="L237" s="19">
        <v>262756.69779999997</v>
      </c>
      <c r="M237" s="19">
        <v>249446.58040000001</v>
      </c>
      <c r="N237" s="17">
        <v>1032208.8875</v>
      </c>
      <c r="O237" s="18">
        <f>IFERROR(Table1[[#This Row],[30-7 stock lvl]]/Table1[[#This Row],[26-Aug]],0)</f>
        <v>4.1379957417928983</v>
      </c>
      <c r="P237" s="1" t="s">
        <v>823</v>
      </c>
    </row>
    <row r="238" spans="1:16" x14ac:dyDescent="0.25">
      <c r="A238" s="2">
        <v>100202001031</v>
      </c>
      <c r="B238" s="10" t="s">
        <v>60</v>
      </c>
      <c r="C238" s="6" t="s">
        <v>61</v>
      </c>
      <c r="E238" s="21" t="s">
        <v>10</v>
      </c>
      <c r="G238" s="1" t="s">
        <v>7</v>
      </c>
      <c r="H238" s="1">
        <v>0</v>
      </c>
      <c r="I238" s="1" t="s">
        <v>782</v>
      </c>
      <c r="J238" s="24">
        <v>45020</v>
      </c>
      <c r="K238" s="16">
        <v>141834.73940000005</v>
      </c>
      <c r="L238" s="19">
        <v>139808.4325</v>
      </c>
      <c r="M238" s="19">
        <v>163594.9811</v>
      </c>
      <c r="N238" s="17">
        <v>676297.51950000005</v>
      </c>
      <c r="O238" s="18">
        <f>IFERROR(Table1[[#This Row],[30-7 stock lvl]]/Table1[[#This Row],[26-Aug]],0)</f>
        <v>4.1339747402556473</v>
      </c>
      <c r="P238" s="1" t="s">
        <v>824</v>
      </c>
    </row>
    <row r="239" spans="1:16" x14ac:dyDescent="0.25">
      <c r="A239" s="2">
        <v>200205010907</v>
      </c>
      <c r="B239" s="10" t="s">
        <v>637</v>
      </c>
      <c r="C239" s="6" t="s">
        <v>638</v>
      </c>
      <c r="E239" s="21" t="s">
        <v>245</v>
      </c>
      <c r="F239" s="1" t="s">
        <v>29</v>
      </c>
      <c r="G239" s="1" t="s">
        <v>7</v>
      </c>
      <c r="H239" s="1">
        <v>0</v>
      </c>
      <c r="I239" s="1" t="s">
        <v>770</v>
      </c>
      <c r="J239" s="24">
        <v>45429</v>
      </c>
      <c r="K239" s="16">
        <v>105173.28630000001</v>
      </c>
      <c r="L239" s="19">
        <v>125129.53</v>
      </c>
      <c r="M239" s="19">
        <v>149415.10949999999</v>
      </c>
      <c r="N239" s="17">
        <v>617240.24</v>
      </c>
      <c r="O239" s="18">
        <f>IFERROR(Table1[[#This Row],[30-7 stock lvl]]/Table1[[#This Row],[26-Aug]],0)</f>
        <v>4.1310429853146813</v>
      </c>
      <c r="P239" s="1" t="s">
        <v>824</v>
      </c>
    </row>
    <row r="240" spans="1:16" x14ac:dyDescent="0.25">
      <c r="A240" s="2">
        <v>101202001005</v>
      </c>
      <c r="B240" s="10" t="s">
        <v>165</v>
      </c>
      <c r="C240" s="6" t="s">
        <v>166</v>
      </c>
      <c r="E240" s="21" t="s">
        <v>158</v>
      </c>
      <c r="F240" s="1" t="s">
        <v>29</v>
      </c>
      <c r="G240" s="1" t="s">
        <v>7</v>
      </c>
      <c r="H240" s="1">
        <v>0</v>
      </c>
      <c r="I240" s="1" t="s">
        <v>763</v>
      </c>
      <c r="J240" s="24">
        <v>43831</v>
      </c>
      <c r="K240" s="16">
        <v>93047.190099999978</v>
      </c>
      <c r="L240" s="19">
        <v>143162.49</v>
      </c>
      <c r="M240" s="19">
        <v>129496.0817</v>
      </c>
      <c r="N240" s="17">
        <v>534662.30799999996</v>
      </c>
      <c r="O240" s="18">
        <f>IFERROR(Table1[[#This Row],[30-7 stock lvl]]/Table1[[#This Row],[26-Aug]],0)</f>
        <v>4.1287913964735816</v>
      </c>
      <c r="P240" s="1" t="s">
        <v>823</v>
      </c>
    </row>
    <row r="241" spans="1:16" x14ac:dyDescent="0.25">
      <c r="A241" s="2">
        <v>200204030009</v>
      </c>
      <c r="B241" s="10" t="s">
        <v>526</v>
      </c>
      <c r="C241" s="6" t="s">
        <v>527</v>
      </c>
      <c r="E241" s="21" t="s">
        <v>511</v>
      </c>
      <c r="G241" s="1" t="s">
        <v>7</v>
      </c>
      <c r="H241" s="1">
        <v>0</v>
      </c>
      <c r="I241" s="1" t="s">
        <v>783</v>
      </c>
      <c r="J241" s="24">
        <v>44595</v>
      </c>
      <c r="K241" s="16">
        <v>347135.95879999996</v>
      </c>
      <c r="L241" s="19">
        <v>397730.09639999986</v>
      </c>
      <c r="M241" s="19">
        <v>398641.71889999998</v>
      </c>
      <c r="N241" s="17">
        <v>1643226.3455000001</v>
      </c>
      <c r="O241" s="18">
        <f>IFERROR(Table1[[#This Row],[30-7 stock lvl]]/Table1[[#This Row],[26-Aug]],0)</f>
        <v>4.1220631649749793</v>
      </c>
      <c r="P241" s="1" t="s">
        <v>825</v>
      </c>
    </row>
    <row r="242" spans="1:16" x14ac:dyDescent="0.25">
      <c r="A242" s="2">
        <v>200205010904</v>
      </c>
      <c r="B242" s="10" t="s">
        <v>631</v>
      </c>
      <c r="C242" s="6" t="s">
        <v>632</v>
      </c>
      <c r="E242" s="21" t="s">
        <v>245</v>
      </c>
      <c r="G242" s="1" t="s">
        <v>7</v>
      </c>
      <c r="H242" s="1">
        <v>0</v>
      </c>
      <c r="I242" s="1" t="s">
        <v>771</v>
      </c>
      <c r="J242" s="24">
        <v>45400</v>
      </c>
      <c r="K242" s="16">
        <v>113749.04500000001</v>
      </c>
      <c r="L242" s="19">
        <v>130275.14</v>
      </c>
      <c r="M242" s="19">
        <v>154783.77119999999</v>
      </c>
      <c r="N242" s="17">
        <v>636602.76749999996</v>
      </c>
      <c r="O242" s="18">
        <f>IFERROR(Table1[[#This Row],[30-7 stock lvl]]/Table1[[#This Row],[26-Aug]],0)</f>
        <v>4.1128521586247535</v>
      </c>
      <c r="P242" s="1" t="s">
        <v>824</v>
      </c>
    </row>
    <row r="243" spans="1:16" x14ac:dyDescent="0.25">
      <c r="A243" s="2">
        <v>101002001002</v>
      </c>
      <c r="B243" s="10" t="s">
        <v>687</v>
      </c>
      <c r="C243" s="6" t="s">
        <v>151</v>
      </c>
      <c r="E243" s="21" t="s">
        <v>10</v>
      </c>
      <c r="G243" s="1" t="s">
        <v>7</v>
      </c>
      <c r="H243" s="1">
        <v>0</v>
      </c>
      <c r="I243" s="1" t="s">
        <v>782</v>
      </c>
      <c r="J243" s="24">
        <v>43101</v>
      </c>
      <c r="K243" s="16">
        <v>197116.70789999995</v>
      </c>
      <c r="L243" s="19">
        <v>219625.60000000001</v>
      </c>
      <c r="M243" s="19">
        <v>173576.28039999999</v>
      </c>
      <c r="N243" s="17">
        <v>710428.59499999997</v>
      </c>
      <c r="O243" s="18">
        <f>IFERROR(Table1[[#This Row],[30-7 stock lvl]]/Table1[[#This Row],[26-Aug]],0)</f>
        <v>4.0928898427990514</v>
      </c>
      <c r="P243" s="1" t="s">
        <v>823</v>
      </c>
    </row>
    <row r="244" spans="1:16" x14ac:dyDescent="0.25">
      <c r="A244" s="2">
        <v>200203010801</v>
      </c>
      <c r="B244" s="10" t="s">
        <v>455</v>
      </c>
      <c r="C244" s="6" t="s">
        <v>456</v>
      </c>
      <c r="E244" s="21" t="s">
        <v>83</v>
      </c>
      <c r="G244" s="1" t="s">
        <v>7</v>
      </c>
      <c r="H244" s="1">
        <v>0</v>
      </c>
      <c r="I244" s="1" t="s">
        <v>767</v>
      </c>
      <c r="J244" s="24">
        <v>45329</v>
      </c>
      <c r="K244" s="16">
        <v>219452.65790000005</v>
      </c>
      <c r="L244" s="19">
        <v>203855.94279999999</v>
      </c>
      <c r="M244" s="19">
        <v>212313.64</v>
      </c>
      <c r="N244" s="17">
        <v>868530.95550000004</v>
      </c>
      <c r="O244" s="18">
        <f>IFERROR(Table1[[#This Row],[30-7 stock lvl]]/Table1[[#This Row],[26-Aug]],0)</f>
        <v>4.0907920729916363</v>
      </c>
      <c r="P244" s="1" t="s">
        <v>824</v>
      </c>
    </row>
    <row r="245" spans="1:16" x14ac:dyDescent="0.25">
      <c r="A245" s="2">
        <v>200202001004</v>
      </c>
      <c r="B245" s="10" t="s">
        <v>385</v>
      </c>
      <c r="C245" s="6" t="s">
        <v>386</v>
      </c>
      <c r="E245" s="21" t="s">
        <v>389</v>
      </c>
      <c r="G245" s="1" t="s">
        <v>7</v>
      </c>
      <c r="H245" s="1">
        <v>0</v>
      </c>
      <c r="I245" s="1" t="s">
        <v>765</v>
      </c>
      <c r="J245" s="24">
        <v>44470</v>
      </c>
      <c r="K245" s="16">
        <v>266172.73170000006</v>
      </c>
      <c r="L245" s="19">
        <v>299924.61740000005</v>
      </c>
      <c r="M245" s="19">
        <v>302721.21189999999</v>
      </c>
      <c r="N245" s="17">
        <v>1232318.8420500001</v>
      </c>
      <c r="O245" s="18">
        <f>IFERROR(Table1[[#This Row],[30-7 stock lvl]]/Table1[[#This Row],[26-Aug]],0)</f>
        <v>4.0708044022269592</v>
      </c>
      <c r="P245" s="1" t="s">
        <v>823</v>
      </c>
    </row>
    <row r="246" spans="1:16" x14ac:dyDescent="0.25">
      <c r="A246" s="2">
        <v>200201010931</v>
      </c>
      <c r="B246" s="10" t="s">
        <v>266</v>
      </c>
      <c r="C246" s="6" t="s">
        <v>267</v>
      </c>
      <c r="E246" s="21" t="s">
        <v>10</v>
      </c>
      <c r="G246" s="1" t="s">
        <v>7</v>
      </c>
      <c r="H246" s="1">
        <v>0</v>
      </c>
      <c r="I246" s="1" t="s">
        <v>782</v>
      </c>
      <c r="J246" s="24">
        <v>45322</v>
      </c>
      <c r="K246" s="16">
        <v>246087.32839999997</v>
      </c>
      <c r="L246" s="19">
        <v>230437.995</v>
      </c>
      <c r="M246" s="19">
        <v>235159.67370000001</v>
      </c>
      <c r="N246" s="17">
        <v>951398.51300000004</v>
      </c>
      <c r="O246" s="18">
        <f>IFERROR(Table1[[#This Row],[30-7 stock lvl]]/Table1[[#This Row],[26-Aug]],0)</f>
        <v>4.0457553713640824</v>
      </c>
      <c r="P246" s="1" t="s">
        <v>824</v>
      </c>
    </row>
    <row r="247" spans="1:16" x14ac:dyDescent="0.25">
      <c r="A247" s="2">
        <v>200204030017</v>
      </c>
      <c r="B247" s="10" t="s">
        <v>730</v>
      </c>
      <c r="C247" s="6" t="s">
        <v>729</v>
      </c>
      <c r="E247" s="21" t="s">
        <v>491</v>
      </c>
      <c r="G247" s="1" t="s">
        <v>7</v>
      </c>
      <c r="H247" s="1">
        <v>0</v>
      </c>
      <c r="I247" s="1" t="s">
        <v>785</v>
      </c>
      <c r="J247" s="24">
        <v>45218</v>
      </c>
      <c r="K247" s="16">
        <v>152602.22150000001</v>
      </c>
      <c r="L247" s="19">
        <v>200096.96309999996</v>
      </c>
      <c r="M247" s="19">
        <v>196047.67490000001</v>
      </c>
      <c r="N247" s="17">
        <v>791467.28500000003</v>
      </c>
      <c r="O247" s="18">
        <f>IFERROR(Table1[[#This Row],[30-7 stock lvl]]/Table1[[#This Row],[26-Aug]],0)</f>
        <v>4.0371164075458257</v>
      </c>
      <c r="P247" s="1" t="s">
        <v>823</v>
      </c>
    </row>
    <row r="248" spans="1:16" x14ac:dyDescent="0.25">
      <c r="A248" s="2">
        <v>200201010918</v>
      </c>
      <c r="B248" s="10" t="s">
        <v>248</v>
      </c>
      <c r="C248" s="6" t="s">
        <v>249</v>
      </c>
      <c r="E248" s="21" t="s">
        <v>6</v>
      </c>
      <c r="G248" s="1" t="s">
        <v>7</v>
      </c>
      <c r="H248" s="1">
        <v>0</v>
      </c>
      <c r="I248" s="1" t="s">
        <v>782</v>
      </c>
      <c r="J248" s="24">
        <v>45100</v>
      </c>
      <c r="K248" s="16">
        <v>239996.6439</v>
      </c>
      <c r="L248" s="19">
        <v>192558.41849999994</v>
      </c>
      <c r="M248" s="19">
        <v>206736.24900000001</v>
      </c>
      <c r="N248" s="17">
        <v>832622.03399999999</v>
      </c>
      <c r="O248" s="18">
        <f>IFERROR(Table1[[#This Row],[30-7 stock lvl]]/Table1[[#This Row],[26-Aug]],0)</f>
        <v>4.0274602931390131</v>
      </c>
      <c r="P248" s="1" t="s">
        <v>824</v>
      </c>
    </row>
    <row r="249" spans="1:16" x14ac:dyDescent="0.25">
      <c r="A249" s="2">
        <v>200205010916</v>
      </c>
      <c r="B249" s="10" t="s">
        <v>654</v>
      </c>
      <c r="C249" s="6" t="s">
        <v>655</v>
      </c>
      <c r="E249" s="21" t="s">
        <v>245</v>
      </c>
      <c r="G249" s="1" t="s">
        <v>7</v>
      </c>
      <c r="H249" s="1">
        <v>0</v>
      </c>
      <c r="I249" s="1" t="s">
        <v>789</v>
      </c>
      <c r="J249" s="24">
        <v>45822</v>
      </c>
      <c r="K249" s="16">
        <v>111977.10740000001</v>
      </c>
      <c r="L249" s="19">
        <v>126232.91649999998</v>
      </c>
      <c r="M249" s="19">
        <v>124294.3355</v>
      </c>
      <c r="N249" s="17">
        <v>499932.61249999999</v>
      </c>
      <c r="O249" s="18">
        <f>IFERROR(Table1[[#This Row],[30-7 stock lvl]]/Table1[[#This Row],[26-Aug]],0)</f>
        <v>4.0221673054441007</v>
      </c>
      <c r="P249" s="1" t="s">
        <v>823</v>
      </c>
    </row>
    <row r="250" spans="1:16" x14ac:dyDescent="0.25">
      <c r="A250" s="2">
        <v>100402001001</v>
      </c>
      <c r="B250" s="10" t="s">
        <v>108</v>
      </c>
      <c r="C250" s="6" t="s">
        <v>109</v>
      </c>
      <c r="E250" s="21" t="s">
        <v>6</v>
      </c>
      <c r="G250" s="1" t="s">
        <v>7</v>
      </c>
      <c r="H250" s="1">
        <v>0</v>
      </c>
      <c r="I250" s="1" t="s">
        <v>782</v>
      </c>
      <c r="J250" s="24">
        <v>43101</v>
      </c>
      <c r="K250" s="16">
        <v>232684.59319999997</v>
      </c>
      <c r="L250" s="19">
        <v>251003.09599999999</v>
      </c>
      <c r="M250" s="19">
        <v>243415.87</v>
      </c>
      <c r="N250" s="17">
        <v>973672.74399999995</v>
      </c>
      <c r="O250" s="18">
        <f>IFERROR(Table1[[#This Row],[30-7 stock lvl]]/Table1[[#This Row],[26-Aug]],0)</f>
        <v>4.0000380583238062</v>
      </c>
      <c r="P250" s="1" t="s">
        <v>823</v>
      </c>
    </row>
    <row r="251" spans="1:16" x14ac:dyDescent="0.25">
      <c r="A251" s="2">
        <v>200201010963</v>
      </c>
      <c r="B251" s="10" t="s">
        <v>329</v>
      </c>
      <c r="C251" s="6" t="s">
        <v>330</v>
      </c>
      <c r="E251" s="21" t="s">
        <v>6</v>
      </c>
      <c r="G251" s="1" t="s">
        <v>7</v>
      </c>
      <c r="H251" s="1">
        <v>0</v>
      </c>
      <c r="I251" s="1" t="s">
        <v>782</v>
      </c>
      <c r="J251" s="24">
        <v>45797</v>
      </c>
      <c r="K251" s="16">
        <v>166279.3186</v>
      </c>
      <c r="L251" s="19">
        <v>170325.9448</v>
      </c>
      <c r="M251" s="19">
        <v>188953.76749999999</v>
      </c>
      <c r="N251" s="17">
        <v>754605.73800000001</v>
      </c>
      <c r="O251" s="18">
        <f>IFERROR(Table1[[#This Row],[30-7 stock lvl]]/Table1[[#This Row],[26-Aug]],0)</f>
        <v>3.9935998524083414</v>
      </c>
      <c r="P251" s="1" t="s">
        <v>823</v>
      </c>
    </row>
    <row r="252" spans="1:16" x14ac:dyDescent="0.25">
      <c r="A252" s="2">
        <v>100802001005</v>
      </c>
      <c r="B252" s="10" t="s">
        <v>143</v>
      </c>
      <c r="C252" s="6" t="s">
        <v>144</v>
      </c>
      <c r="E252" s="21" t="s">
        <v>6</v>
      </c>
      <c r="G252" s="1" t="s">
        <v>7</v>
      </c>
      <c r="H252" s="1">
        <v>0</v>
      </c>
      <c r="I252" s="1" t="s">
        <v>782</v>
      </c>
      <c r="J252" s="24">
        <v>43101</v>
      </c>
      <c r="K252" s="16">
        <v>117257.29440000001</v>
      </c>
      <c r="L252" s="19">
        <v>146589.64500000002</v>
      </c>
      <c r="M252" s="19">
        <v>170620.19010000001</v>
      </c>
      <c r="N252" s="17">
        <v>680052.17350000003</v>
      </c>
      <c r="O252" s="18">
        <f>IFERROR(Table1[[#This Row],[30-7 stock lvl]]/Table1[[#This Row],[26-Aug]],0)</f>
        <v>3.9857661224115586</v>
      </c>
      <c r="P252" s="1" t="s">
        <v>823</v>
      </c>
    </row>
    <row r="253" spans="1:16" x14ac:dyDescent="0.25">
      <c r="A253" s="2">
        <v>200201020300</v>
      </c>
      <c r="B253" s="10" t="s">
        <v>346</v>
      </c>
      <c r="C253" s="6" t="s">
        <v>347</v>
      </c>
      <c r="E253" s="21" t="s">
        <v>28</v>
      </c>
      <c r="G253" s="1" t="s">
        <v>7</v>
      </c>
      <c r="H253" s="1">
        <v>0</v>
      </c>
      <c r="I253" s="1" t="s">
        <v>782</v>
      </c>
      <c r="J253" s="24">
        <v>45415</v>
      </c>
      <c r="K253" s="16">
        <v>185200.44690000001</v>
      </c>
      <c r="L253" s="19">
        <v>206706.73250000001</v>
      </c>
      <c r="M253" s="19">
        <v>209991.95619999999</v>
      </c>
      <c r="N253" s="17">
        <v>836014.56550000003</v>
      </c>
      <c r="O253" s="18">
        <f>IFERROR(Table1[[#This Row],[30-7 stock lvl]]/Table1[[#This Row],[26-Aug]],0)</f>
        <v>3.9811742346157546</v>
      </c>
      <c r="P253" s="1" t="s">
        <v>824</v>
      </c>
    </row>
    <row r="254" spans="1:16" x14ac:dyDescent="0.25">
      <c r="A254" s="2">
        <v>102002006002</v>
      </c>
      <c r="B254" s="10" t="s">
        <v>199</v>
      </c>
      <c r="C254" s="6" t="s">
        <v>200</v>
      </c>
      <c r="E254" s="21" t="s">
        <v>128</v>
      </c>
      <c r="G254" s="1" t="s">
        <v>129</v>
      </c>
      <c r="H254" s="1">
        <v>0</v>
      </c>
      <c r="I254" s="1" t="s">
        <v>782</v>
      </c>
      <c r="J254" s="24">
        <v>44409</v>
      </c>
      <c r="K254" s="16">
        <v>253162.79259999996</v>
      </c>
      <c r="L254" s="19">
        <v>252763.74350000004</v>
      </c>
      <c r="M254" s="19">
        <v>271552.049</v>
      </c>
      <c r="N254" s="17">
        <v>1078025.5645000001</v>
      </c>
      <c r="O254" s="18">
        <f>IFERROR(Table1[[#This Row],[30-7 stock lvl]]/Table1[[#This Row],[26-Aug]],0)</f>
        <v>3.9698671708420807</v>
      </c>
      <c r="P254" s="1" t="s">
        <v>823</v>
      </c>
    </row>
    <row r="255" spans="1:16" x14ac:dyDescent="0.25">
      <c r="A255" s="2">
        <v>100202001013</v>
      </c>
      <c r="B255" s="10" t="s">
        <v>32</v>
      </c>
      <c r="C255" s="6" t="s">
        <v>33</v>
      </c>
      <c r="D255" s="6" t="s">
        <v>827</v>
      </c>
      <c r="E255" s="21" t="s">
        <v>28</v>
      </c>
      <c r="G255" s="1" t="s">
        <v>7</v>
      </c>
      <c r="H255" s="1">
        <v>0</v>
      </c>
      <c r="I255" s="1" t="s">
        <v>782</v>
      </c>
      <c r="J255" s="24">
        <v>43101</v>
      </c>
      <c r="K255" s="16">
        <v>155490.80160000001</v>
      </c>
      <c r="L255" s="19">
        <v>183970.55650000004</v>
      </c>
      <c r="M255" s="19">
        <v>165006.98970000001</v>
      </c>
      <c r="N255" s="17">
        <v>654900.49750000006</v>
      </c>
      <c r="O255" s="18">
        <f>IFERROR(Table1[[#This Row],[30-7 stock lvl]]/Table1[[#This Row],[26-Aug]],0)</f>
        <v>3.9689257933295905</v>
      </c>
      <c r="P255" s="1" t="s">
        <v>823</v>
      </c>
    </row>
    <row r="256" spans="1:16" x14ac:dyDescent="0.25">
      <c r="A256" s="2">
        <v>200204030052</v>
      </c>
      <c r="B256" s="10" t="s">
        <v>598</v>
      </c>
      <c r="C256" s="6" t="s">
        <v>740</v>
      </c>
      <c r="E256" s="21" t="s">
        <v>511</v>
      </c>
      <c r="G256" s="1" t="s">
        <v>7</v>
      </c>
      <c r="H256" s="1">
        <v>0</v>
      </c>
      <c r="I256" s="1" t="s">
        <v>768</v>
      </c>
      <c r="J256" s="24">
        <v>45943</v>
      </c>
      <c r="K256" s="16">
        <v>195777.99299999999</v>
      </c>
      <c r="L256" s="19">
        <v>250157.19349999996</v>
      </c>
      <c r="M256" s="19">
        <v>236429.6208</v>
      </c>
      <c r="N256" s="17">
        <v>935212.68200000003</v>
      </c>
      <c r="O256" s="18">
        <f>IFERROR(Table1[[#This Row],[30-7 stock lvl]]/Table1[[#This Row],[26-Aug]],0)</f>
        <v>3.9555647842920365</v>
      </c>
      <c r="P256" s="1" t="s">
        <v>823</v>
      </c>
    </row>
    <row r="257" spans="1:16" x14ac:dyDescent="0.25">
      <c r="A257" s="2">
        <v>200205020200</v>
      </c>
      <c r="B257" s="10" t="s">
        <v>754</v>
      </c>
      <c r="C257" s="6" t="s">
        <v>753</v>
      </c>
      <c r="E257" s="21" t="s">
        <v>150</v>
      </c>
      <c r="G257" s="1" t="s">
        <v>129</v>
      </c>
      <c r="H257" s="1">
        <v>0</v>
      </c>
      <c r="I257" s="1" t="s">
        <v>772</v>
      </c>
      <c r="J257" s="24">
        <v>46065</v>
      </c>
      <c r="K257" s="16">
        <v>184945.93849999999</v>
      </c>
      <c r="L257" s="19">
        <v>174114.66199999998</v>
      </c>
      <c r="M257" s="19">
        <v>197482.74004999999</v>
      </c>
      <c r="N257" s="17">
        <v>779731.82794999995</v>
      </c>
      <c r="O257" s="18">
        <f>IFERROR(Table1[[#This Row],[30-7 stock lvl]]/Table1[[#This Row],[26-Aug]],0)</f>
        <v>3.9483543106227019</v>
      </c>
      <c r="P257" s="1" t="s">
        <v>823</v>
      </c>
    </row>
    <row r="258" spans="1:16" x14ac:dyDescent="0.25">
      <c r="A258" s="2">
        <v>200201010905</v>
      </c>
      <c r="B258" s="11" t="s">
        <v>225</v>
      </c>
      <c r="C258" s="9" t="s">
        <v>226</v>
      </c>
      <c r="E258" s="21" t="s">
        <v>6</v>
      </c>
      <c r="G258" s="1" t="s">
        <v>7</v>
      </c>
      <c r="H258" s="1">
        <v>0</v>
      </c>
      <c r="I258" s="1" t="s">
        <v>782</v>
      </c>
      <c r="J258" s="24">
        <v>44992</v>
      </c>
      <c r="K258" s="16">
        <v>387182.08990000002</v>
      </c>
      <c r="L258" s="19">
        <v>479771.76000000007</v>
      </c>
      <c r="M258" s="19">
        <v>305737.83319999999</v>
      </c>
      <c r="N258" s="17">
        <v>1204589.2520000001</v>
      </c>
      <c r="O258" s="18">
        <f>IFERROR(Table1[[#This Row],[30-7 stock lvl]]/Table1[[#This Row],[26-Aug]],0)</f>
        <v>3.939941744834738</v>
      </c>
      <c r="P258" s="1" t="s">
        <v>824</v>
      </c>
    </row>
    <row r="259" spans="1:16" x14ac:dyDescent="0.25">
      <c r="A259" s="2">
        <v>100302001016</v>
      </c>
      <c r="B259" s="10" t="s">
        <v>92</v>
      </c>
      <c r="C259" s="6" t="s">
        <v>93</v>
      </c>
      <c r="E259" s="21" t="s">
        <v>83</v>
      </c>
      <c r="G259" s="1" t="s">
        <v>7</v>
      </c>
      <c r="H259" s="1">
        <v>0</v>
      </c>
      <c r="I259" s="1" t="s">
        <v>788</v>
      </c>
      <c r="J259" s="24">
        <v>43101</v>
      </c>
      <c r="K259" s="16">
        <v>114131.43060000001</v>
      </c>
      <c r="L259" s="19">
        <v>129124.6198</v>
      </c>
      <c r="M259" s="19">
        <v>131688.63579999999</v>
      </c>
      <c r="N259" s="17">
        <v>517759.321</v>
      </c>
      <c r="O259" s="18">
        <f>IFERROR(Table1[[#This Row],[30-7 stock lvl]]/Table1[[#This Row],[26-Aug]],0)</f>
        <v>3.9316932539747675</v>
      </c>
      <c r="P259" s="1" t="s">
        <v>823</v>
      </c>
    </row>
    <row r="260" spans="1:16" x14ac:dyDescent="0.25">
      <c r="A260" s="2">
        <v>200202001010</v>
      </c>
      <c r="B260" s="10" t="s">
        <v>394</v>
      </c>
      <c r="C260" s="6" t="s">
        <v>395</v>
      </c>
      <c r="E260" s="21" t="s">
        <v>389</v>
      </c>
      <c r="G260" s="1" t="s">
        <v>7</v>
      </c>
      <c r="H260" s="1">
        <v>0</v>
      </c>
      <c r="I260" s="1" t="s">
        <v>765</v>
      </c>
      <c r="J260" s="24">
        <v>45017</v>
      </c>
      <c r="K260" s="16">
        <v>258966.40189999997</v>
      </c>
      <c r="L260" s="19">
        <v>280336.34999999992</v>
      </c>
      <c r="M260" s="19">
        <v>267866.5588</v>
      </c>
      <c r="N260" s="17">
        <v>1052313.122</v>
      </c>
      <c r="O260" s="18">
        <f>IFERROR(Table1[[#This Row],[30-7 stock lvl]]/Table1[[#This Row],[26-Aug]],0)</f>
        <v>3.9284975575682051</v>
      </c>
      <c r="P260" s="1" t="s">
        <v>824</v>
      </c>
    </row>
    <row r="261" spans="1:16" x14ac:dyDescent="0.25">
      <c r="A261" s="2">
        <v>200204030060</v>
      </c>
      <c r="B261" s="10" t="s">
        <v>607</v>
      </c>
      <c r="C261" s="6" t="s">
        <v>745</v>
      </c>
      <c r="E261" s="21" t="s">
        <v>491</v>
      </c>
      <c r="G261" s="1" t="s">
        <v>7</v>
      </c>
      <c r="H261" s="1">
        <v>0</v>
      </c>
      <c r="I261" s="1" t="s">
        <v>785</v>
      </c>
      <c r="J261" s="24">
        <v>46080</v>
      </c>
      <c r="K261" s="16">
        <v>75290.545399999988</v>
      </c>
      <c r="L261" s="19">
        <v>134807.47960000002</v>
      </c>
      <c r="M261" s="19">
        <v>138380.5251</v>
      </c>
      <c r="N261" s="17">
        <v>543303.60239999997</v>
      </c>
      <c r="O261" s="18">
        <f>IFERROR(Table1[[#This Row],[30-7 stock lvl]]/Table1[[#This Row],[26-Aug]],0)</f>
        <v>3.9261565311114719</v>
      </c>
      <c r="P261" s="1" t="s">
        <v>823</v>
      </c>
    </row>
    <row r="262" spans="1:16" x14ac:dyDescent="0.25">
      <c r="A262" s="2">
        <v>200205010903</v>
      </c>
      <c r="B262" s="10" t="s">
        <v>629</v>
      </c>
      <c r="C262" s="6" t="s">
        <v>630</v>
      </c>
      <c r="E262" s="21" t="s">
        <v>245</v>
      </c>
      <c r="G262" s="1" t="s">
        <v>7</v>
      </c>
      <c r="H262" s="1">
        <v>0</v>
      </c>
      <c r="I262" s="1" t="s">
        <v>769</v>
      </c>
      <c r="J262" s="24">
        <v>45341</v>
      </c>
      <c r="K262" s="16">
        <v>185471.78289999996</v>
      </c>
      <c r="L262" s="19">
        <v>173860.32</v>
      </c>
      <c r="M262" s="19">
        <v>179882.1618</v>
      </c>
      <c r="N262" s="17">
        <v>705325.34349999996</v>
      </c>
      <c r="O262" s="18">
        <f>IFERROR(Table1[[#This Row],[30-7 stock lvl]]/Table1[[#This Row],[26-Aug]],0)</f>
        <v>3.9210410662298365</v>
      </c>
      <c r="P262" s="1" t="s">
        <v>825</v>
      </c>
    </row>
    <row r="263" spans="1:16" x14ac:dyDescent="0.25">
      <c r="A263" s="2">
        <v>100902001001</v>
      </c>
      <c r="B263" s="10" t="s">
        <v>147</v>
      </c>
      <c r="C263" s="6" t="s">
        <v>148</v>
      </c>
      <c r="E263" s="21" t="s">
        <v>128</v>
      </c>
      <c r="G263" s="1" t="s">
        <v>129</v>
      </c>
      <c r="H263" s="1" t="s">
        <v>756</v>
      </c>
      <c r="I263" s="1" t="s">
        <v>782</v>
      </c>
      <c r="J263" s="24">
        <v>43101</v>
      </c>
      <c r="K263" s="16">
        <v>428177.22020000004</v>
      </c>
      <c r="L263" s="19">
        <v>431811.44</v>
      </c>
      <c r="M263" s="19">
        <v>399056.32620000001</v>
      </c>
      <c r="N263" s="17">
        <v>1563229.0759999999</v>
      </c>
      <c r="O263" s="18">
        <f>IFERROR(Table1[[#This Row],[30-7 stock lvl]]/Table1[[#This Row],[26-Aug]],0)</f>
        <v>3.9173143573134008</v>
      </c>
      <c r="P263" s="1" t="s">
        <v>823</v>
      </c>
    </row>
    <row r="264" spans="1:16" x14ac:dyDescent="0.25">
      <c r="A264" s="2">
        <v>200201010944</v>
      </c>
      <c r="B264" s="10" t="s">
        <v>292</v>
      </c>
      <c r="C264" s="6" t="s">
        <v>293</v>
      </c>
      <c r="E264" s="21" t="s">
        <v>210</v>
      </c>
      <c r="G264" s="1" t="s">
        <v>129</v>
      </c>
      <c r="H264" s="1">
        <v>0</v>
      </c>
      <c r="I264" s="1" t="s">
        <v>782</v>
      </c>
      <c r="J264" s="24">
        <v>45605</v>
      </c>
      <c r="K264" s="16">
        <v>424316.46250000002</v>
      </c>
      <c r="L264" s="19">
        <v>385517.22000000009</v>
      </c>
      <c r="M264" s="19">
        <v>323008.58750000002</v>
      </c>
      <c r="N264" s="17">
        <v>1264238.6935000001</v>
      </c>
      <c r="O264" s="18">
        <f>IFERROR(Table1[[#This Row],[30-7 stock lvl]]/Table1[[#This Row],[26-Aug]],0)</f>
        <v>3.9139476237609316</v>
      </c>
      <c r="P264" s="1" t="s">
        <v>823</v>
      </c>
    </row>
    <row r="265" spans="1:16" x14ac:dyDescent="0.25">
      <c r="A265" s="2">
        <v>200201060200</v>
      </c>
      <c r="B265" s="10" t="s">
        <v>372</v>
      </c>
      <c r="C265" s="6" t="s">
        <v>373</v>
      </c>
      <c r="E265" s="21" t="s">
        <v>79</v>
      </c>
      <c r="G265" s="1" t="s">
        <v>7</v>
      </c>
      <c r="H265" s="1">
        <v>0</v>
      </c>
      <c r="I265" s="1" t="s">
        <v>786</v>
      </c>
      <c r="J265" s="24">
        <v>45006</v>
      </c>
      <c r="K265" s="16">
        <v>214223.39330000005</v>
      </c>
      <c r="L265" s="19">
        <v>232616.42070000002</v>
      </c>
      <c r="M265" s="19">
        <v>240146.69620000001</v>
      </c>
      <c r="N265" s="17">
        <v>939692.16879999998</v>
      </c>
      <c r="O265" s="18">
        <f>IFERROR(Table1[[#This Row],[30-7 stock lvl]]/Table1[[#This Row],[26-Aug]],0)</f>
        <v>3.9129922820899501</v>
      </c>
      <c r="P265" s="1" t="s">
        <v>824</v>
      </c>
    </row>
    <row r="266" spans="1:16" x14ac:dyDescent="0.25">
      <c r="A266" s="2">
        <v>100202001025</v>
      </c>
      <c r="B266" s="10" t="s">
        <v>50</v>
      </c>
      <c r="C266" s="6" t="s">
        <v>51</v>
      </c>
      <c r="E266" s="21" t="s">
        <v>28</v>
      </c>
      <c r="G266" s="1" t="s">
        <v>7</v>
      </c>
      <c r="H266" s="1">
        <v>0</v>
      </c>
      <c r="I266" s="1" t="s">
        <v>782</v>
      </c>
      <c r="J266" s="24">
        <v>43101</v>
      </c>
      <c r="K266" s="16">
        <v>184028.30769999998</v>
      </c>
      <c r="L266" s="19">
        <v>200371.21</v>
      </c>
      <c r="M266" s="19">
        <v>195070.74890000001</v>
      </c>
      <c r="N266" s="17">
        <v>760533.51650000003</v>
      </c>
      <c r="O266" s="18">
        <f>IFERROR(Table1[[#This Row],[30-7 stock lvl]]/Table1[[#This Row],[26-Aug]],0)</f>
        <v>3.8987573523382317</v>
      </c>
      <c r="P266" s="1" t="s">
        <v>824</v>
      </c>
    </row>
    <row r="267" spans="1:16" x14ac:dyDescent="0.25">
      <c r="A267" s="2">
        <v>200202001017</v>
      </c>
      <c r="B267" s="10" t="s">
        <v>408</v>
      </c>
      <c r="C267" s="6" t="s">
        <v>409</v>
      </c>
      <c r="E267" s="21" t="s">
        <v>389</v>
      </c>
      <c r="G267" s="1" t="s">
        <v>7</v>
      </c>
      <c r="H267" s="1">
        <v>0</v>
      </c>
      <c r="I267" s="1" t="s">
        <v>787</v>
      </c>
      <c r="J267" s="24">
        <v>45255</v>
      </c>
      <c r="K267" s="16">
        <v>177114.19679999995</v>
      </c>
      <c r="L267" s="19">
        <v>186815.57749999998</v>
      </c>
      <c r="M267" s="19">
        <v>193822.1476</v>
      </c>
      <c r="N267" s="17">
        <v>750077.549</v>
      </c>
      <c r="O267" s="18">
        <f>IFERROR(Table1[[#This Row],[30-7 stock lvl]]/Table1[[#This Row],[26-Aug]],0)</f>
        <v>3.869926931920963</v>
      </c>
      <c r="P267" s="1" t="s">
        <v>824</v>
      </c>
    </row>
    <row r="268" spans="1:16" x14ac:dyDescent="0.25">
      <c r="A268" s="2">
        <v>100202001037</v>
      </c>
      <c r="B268" s="10" t="s">
        <v>66</v>
      </c>
      <c r="C268" s="6" t="s">
        <v>67</v>
      </c>
      <c r="E268" s="21" t="s">
        <v>28</v>
      </c>
      <c r="G268" s="1" t="s">
        <v>7</v>
      </c>
      <c r="H268" s="1">
        <v>0</v>
      </c>
      <c r="I268" s="1" t="s">
        <v>782</v>
      </c>
      <c r="J268" s="24">
        <v>43862</v>
      </c>
      <c r="K268" s="16">
        <v>214479.78469999996</v>
      </c>
      <c r="L268" s="19">
        <v>227770.83199999994</v>
      </c>
      <c r="M268" s="19">
        <v>240445.30530000001</v>
      </c>
      <c r="N268" s="17">
        <v>927738.86300000001</v>
      </c>
      <c r="O268" s="18">
        <f>IFERROR(Table1[[#This Row],[30-7 stock lvl]]/Table1[[#This Row],[26-Aug]],0)</f>
        <v>3.8584195347148662</v>
      </c>
      <c r="P268" s="1" t="s">
        <v>824</v>
      </c>
    </row>
    <row r="269" spans="1:16" x14ac:dyDescent="0.25">
      <c r="A269" s="2">
        <v>102002005002</v>
      </c>
      <c r="B269" s="10" t="s">
        <v>195</v>
      </c>
      <c r="C269" s="6" t="s">
        <v>196</v>
      </c>
      <c r="D269" s="6" t="s">
        <v>827</v>
      </c>
      <c r="E269" s="21" t="s">
        <v>150</v>
      </c>
      <c r="G269" s="1" t="s">
        <v>129</v>
      </c>
      <c r="H269" s="1">
        <v>0</v>
      </c>
      <c r="I269" s="1" t="s">
        <v>782</v>
      </c>
      <c r="J269" s="24">
        <v>44348</v>
      </c>
      <c r="K269" s="16">
        <v>360167.30450000003</v>
      </c>
      <c r="L269" s="19">
        <v>354482.32799999986</v>
      </c>
      <c r="M269" s="19">
        <v>356976.3995</v>
      </c>
      <c r="N269" s="17">
        <v>1375539.2335000001</v>
      </c>
      <c r="O269" s="18">
        <f>IFERROR(Table1[[#This Row],[30-7 stock lvl]]/Table1[[#This Row],[26-Aug]],0)</f>
        <v>3.8533058079656048</v>
      </c>
      <c r="P269" s="1" t="s">
        <v>823</v>
      </c>
    </row>
    <row r="270" spans="1:16" x14ac:dyDescent="0.25">
      <c r="A270" s="2">
        <v>200204020001</v>
      </c>
      <c r="B270" s="10" t="s">
        <v>498</v>
      </c>
      <c r="C270" s="6" t="s">
        <v>499</v>
      </c>
      <c r="E270" s="21" t="s">
        <v>186</v>
      </c>
      <c r="G270" s="1" t="s">
        <v>129</v>
      </c>
      <c r="H270" s="1">
        <v>0</v>
      </c>
      <c r="I270" s="1" t="s">
        <v>763</v>
      </c>
      <c r="J270" s="24">
        <v>44701</v>
      </c>
      <c r="K270" s="16">
        <v>198918.05749999997</v>
      </c>
      <c r="L270" s="19">
        <v>222568.41500000001</v>
      </c>
      <c r="M270" s="19">
        <v>226619.73149999999</v>
      </c>
      <c r="N270" s="17">
        <v>871263.71349999995</v>
      </c>
      <c r="O270" s="18">
        <f>IFERROR(Table1[[#This Row],[30-7 stock lvl]]/Table1[[#This Row],[26-Aug]],0)</f>
        <v>3.8446065915491565</v>
      </c>
      <c r="P270" s="1" t="s">
        <v>823</v>
      </c>
    </row>
    <row r="271" spans="1:16" x14ac:dyDescent="0.25">
      <c r="A271" s="2">
        <v>100502001005</v>
      </c>
      <c r="B271" s="10" t="s">
        <v>120</v>
      </c>
      <c r="C271" s="6" t="s">
        <v>121</v>
      </c>
      <c r="E271" s="21" t="s">
        <v>10</v>
      </c>
      <c r="G271" s="1" t="s">
        <v>7</v>
      </c>
      <c r="H271" s="1">
        <v>0</v>
      </c>
      <c r="I271" s="1" t="s">
        <v>782</v>
      </c>
      <c r="J271" s="24">
        <v>42370</v>
      </c>
      <c r="K271" s="16">
        <v>192520.83820000003</v>
      </c>
      <c r="L271" s="19">
        <v>256523.55350000001</v>
      </c>
      <c r="M271" s="19">
        <v>256177.2561</v>
      </c>
      <c r="N271" s="17">
        <v>983092.78399999999</v>
      </c>
      <c r="O271" s="18">
        <f>IFERROR(Table1[[#This Row],[30-7 stock lvl]]/Table1[[#This Row],[26-Aug]],0)</f>
        <v>3.8375490430588619</v>
      </c>
      <c r="P271" s="1" t="s">
        <v>824</v>
      </c>
    </row>
    <row r="272" spans="1:16" x14ac:dyDescent="0.25">
      <c r="A272" s="2">
        <v>200201010928</v>
      </c>
      <c r="B272" s="10" t="s">
        <v>264</v>
      </c>
      <c r="C272" s="6" t="s">
        <v>265</v>
      </c>
      <c r="E272" s="21" t="s">
        <v>13</v>
      </c>
      <c r="G272" s="1" t="s">
        <v>7</v>
      </c>
      <c r="H272" s="1">
        <v>0</v>
      </c>
      <c r="I272" s="1" t="s">
        <v>782</v>
      </c>
      <c r="J272" s="24">
        <v>45267</v>
      </c>
      <c r="K272" s="16">
        <v>223464.48729999995</v>
      </c>
      <c r="L272" s="19">
        <v>219607.83899999998</v>
      </c>
      <c r="M272" s="19">
        <v>235225.80300000001</v>
      </c>
      <c r="N272" s="17">
        <v>901506.87199999997</v>
      </c>
      <c r="O272" s="18">
        <f>IFERROR(Table1[[#This Row],[30-7 stock lvl]]/Table1[[#This Row],[26-Aug]],0)</f>
        <v>3.8325169284255773</v>
      </c>
      <c r="P272" s="1" t="s">
        <v>824</v>
      </c>
    </row>
    <row r="273" spans="1:16" x14ac:dyDescent="0.25">
      <c r="A273" s="2">
        <v>200205010902</v>
      </c>
      <c r="B273" s="10" t="s">
        <v>627</v>
      </c>
      <c r="C273" s="6" t="s">
        <v>628</v>
      </c>
      <c r="E273" s="21" t="s">
        <v>128</v>
      </c>
      <c r="G273" s="1" t="s">
        <v>129</v>
      </c>
      <c r="H273" s="1">
        <v>0</v>
      </c>
      <c r="I273" s="1" t="s">
        <v>770</v>
      </c>
      <c r="J273" s="24">
        <v>45309</v>
      </c>
      <c r="K273" s="16">
        <v>103881.83749999999</v>
      </c>
      <c r="L273" s="19">
        <v>103561.53</v>
      </c>
      <c r="M273" s="19">
        <v>110298.15895</v>
      </c>
      <c r="N273" s="17">
        <v>422577.34570000001</v>
      </c>
      <c r="O273" s="18">
        <f>IFERROR(Table1[[#This Row],[30-7 stock lvl]]/Table1[[#This Row],[26-Aug]],0)</f>
        <v>3.8312275537759555</v>
      </c>
      <c r="P273" s="1" t="s">
        <v>823</v>
      </c>
    </row>
    <row r="274" spans="1:16" x14ac:dyDescent="0.25">
      <c r="A274" s="2">
        <v>101202001004</v>
      </c>
      <c r="B274" s="10" t="s">
        <v>163</v>
      </c>
      <c r="C274" s="6" t="s">
        <v>164</v>
      </c>
      <c r="E274" s="21" t="s">
        <v>158</v>
      </c>
      <c r="G274" s="1" t="s">
        <v>7</v>
      </c>
      <c r="H274" s="1">
        <v>0</v>
      </c>
      <c r="I274" s="1" t="s">
        <v>763</v>
      </c>
      <c r="J274" s="24">
        <v>43831</v>
      </c>
      <c r="K274" s="16">
        <v>183841.37339999998</v>
      </c>
      <c r="L274" s="19">
        <v>242104.06969999999</v>
      </c>
      <c r="M274" s="19">
        <v>229594.73620000001</v>
      </c>
      <c r="N274" s="17">
        <v>879100.74676000001</v>
      </c>
      <c r="O274" s="18">
        <f>IFERROR(Table1[[#This Row],[30-7 stock lvl]]/Table1[[#This Row],[26-Aug]],0)</f>
        <v>3.8289237867989065</v>
      </c>
      <c r="P274" s="1" t="s">
        <v>824</v>
      </c>
    </row>
    <row r="275" spans="1:16" x14ac:dyDescent="0.25">
      <c r="A275" s="2">
        <v>100702001009</v>
      </c>
      <c r="B275" s="10" t="s">
        <v>135</v>
      </c>
      <c r="C275" s="6" t="s">
        <v>136</v>
      </c>
      <c r="E275" s="21" t="s">
        <v>79</v>
      </c>
      <c r="G275" s="1" t="s">
        <v>7</v>
      </c>
      <c r="H275" s="1">
        <v>0</v>
      </c>
      <c r="I275" s="1" t="s">
        <v>784</v>
      </c>
      <c r="J275" s="24">
        <v>43101</v>
      </c>
      <c r="K275" s="16">
        <v>278615.08059999993</v>
      </c>
      <c r="L275" s="19">
        <v>318949.89924999984</v>
      </c>
      <c r="M275" s="19">
        <v>341797.28889999999</v>
      </c>
      <c r="N275" s="17">
        <v>1302671.1499999999</v>
      </c>
      <c r="O275" s="18">
        <f>IFERROR(Table1[[#This Row],[30-7 stock lvl]]/Table1[[#This Row],[26-Aug]],0)</f>
        <v>3.8112389779110387</v>
      </c>
      <c r="P275" s="1" t="s">
        <v>823</v>
      </c>
    </row>
    <row r="276" spans="1:16" x14ac:dyDescent="0.25">
      <c r="A276" s="2">
        <v>200201010946</v>
      </c>
      <c r="B276" s="10" t="s">
        <v>296</v>
      </c>
      <c r="C276" s="6" t="s">
        <v>297</v>
      </c>
      <c r="E276" s="21" t="s">
        <v>128</v>
      </c>
      <c r="G276" s="1" t="s">
        <v>129</v>
      </c>
      <c r="H276" s="1">
        <v>0</v>
      </c>
      <c r="I276" s="1" t="s">
        <v>782</v>
      </c>
      <c r="J276" s="24">
        <v>45620</v>
      </c>
      <c r="K276" s="16">
        <v>310180.13999999996</v>
      </c>
      <c r="L276" s="19">
        <v>262904.49</v>
      </c>
      <c r="M276" s="19">
        <v>283231.08</v>
      </c>
      <c r="N276" s="17">
        <v>1079156.53</v>
      </c>
      <c r="O276" s="18">
        <f>IFERROR(Table1[[#This Row],[30-7 stock lvl]]/Table1[[#This Row],[26-Aug]],0)</f>
        <v>3.8101628182895748</v>
      </c>
      <c r="P276" s="1" t="s">
        <v>823</v>
      </c>
    </row>
    <row r="277" spans="1:16" x14ac:dyDescent="0.25">
      <c r="A277" s="2">
        <v>200203010812</v>
      </c>
      <c r="B277" s="10" t="s">
        <v>475</v>
      </c>
      <c r="C277" s="6" t="s">
        <v>476</v>
      </c>
      <c r="E277" s="21" t="s">
        <v>83</v>
      </c>
      <c r="G277" s="1" t="s">
        <v>7</v>
      </c>
      <c r="H277" s="1">
        <v>0</v>
      </c>
      <c r="I277" s="1" t="s">
        <v>767</v>
      </c>
      <c r="J277" s="24">
        <v>45805</v>
      </c>
      <c r="K277" s="16">
        <v>275392.23259999993</v>
      </c>
      <c r="L277" s="19">
        <v>286758.0025</v>
      </c>
      <c r="M277" s="19">
        <v>273397.4584</v>
      </c>
      <c r="N277" s="17">
        <v>1040267.6155</v>
      </c>
      <c r="O277" s="18">
        <f>IFERROR(Table1[[#This Row],[30-7 stock lvl]]/Table1[[#This Row],[26-Aug]],0)</f>
        <v>3.8049644703646592</v>
      </c>
      <c r="P277" s="1" t="s">
        <v>824</v>
      </c>
    </row>
    <row r="278" spans="1:16" x14ac:dyDescent="0.25">
      <c r="A278" s="2">
        <v>200201010956</v>
      </c>
      <c r="B278" s="10" t="s">
        <v>315</v>
      </c>
      <c r="C278" s="6" t="s">
        <v>316</v>
      </c>
      <c r="E278" s="21" t="s">
        <v>10</v>
      </c>
      <c r="G278" s="1" t="s">
        <v>7</v>
      </c>
      <c r="H278" s="1">
        <v>0</v>
      </c>
      <c r="I278" s="1" t="s">
        <v>782</v>
      </c>
      <c r="J278" s="24">
        <v>45685</v>
      </c>
      <c r="K278" s="16">
        <v>194864.52440000002</v>
      </c>
      <c r="L278" s="19">
        <v>195762.17429999998</v>
      </c>
      <c r="M278" s="19">
        <v>205260.40460000001</v>
      </c>
      <c r="N278" s="17">
        <v>779660.82649999997</v>
      </c>
      <c r="O278" s="18">
        <f>IFERROR(Table1[[#This Row],[30-7 stock lvl]]/Table1[[#This Row],[26-Aug]],0)</f>
        <v>3.7983985660525192</v>
      </c>
      <c r="P278" s="1" t="s">
        <v>824</v>
      </c>
    </row>
    <row r="279" spans="1:16" x14ac:dyDescent="0.25">
      <c r="A279" s="2">
        <v>200204020003</v>
      </c>
      <c r="B279" s="10" t="s">
        <v>502</v>
      </c>
      <c r="C279" s="6" t="s">
        <v>503</v>
      </c>
      <c r="E279" s="21" t="s">
        <v>186</v>
      </c>
      <c r="G279" s="1" t="s">
        <v>129</v>
      </c>
      <c r="H279" s="1">
        <v>0</v>
      </c>
      <c r="I279" s="1" t="s">
        <v>763</v>
      </c>
      <c r="J279" s="24">
        <v>44701</v>
      </c>
      <c r="K279" s="16">
        <v>188921.01250000001</v>
      </c>
      <c r="L279" s="19">
        <v>217975.50550000003</v>
      </c>
      <c r="M279" s="19">
        <v>218666.72154999999</v>
      </c>
      <c r="N279" s="17">
        <v>828024.32744999998</v>
      </c>
      <c r="O279" s="18">
        <f>IFERROR(Table1[[#This Row],[30-7 stock lvl]]/Table1[[#This Row],[26-Aug]],0)</f>
        <v>3.7866956690099971</v>
      </c>
      <c r="P279" s="1" t="s">
        <v>823</v>
      </c>
    </row>
    <row r="280" spans="1:16" x14ac:dyDescent="0.25">
      <c r="A280" s="2">
        <v>101202001006</v>
      </c>
      <c r="B280" s="10" t="s">
        <v>167</v>
      </c>
      <c r="C280" s="7" t="s">
        <v>168</v>
      </c>
      <c r="D280" s="7"/>
      <c r="E280" s="21" t="s">
        <v>158</v>
      </c>
      <c r="G280" s="1" t="s">
        <v>7</v>
      </c>
      <c r="H280" s="1">
        <v>0</v>
      </c>
      <c r="I280" s="1" t="s">
        <v>763</v>
      </c>
      <c r="J280" s="24">
        <v>43831</v>
      </c>
      <c r="K280" s="16">
        <v>160022.36410000004</v>
      </c>
      <c r="L280" s="19">
        <v>219344.2175</v>
      </c>
      <c r="M280" s="19">
        <v>239440.91560000001</v>
      </c>
      <c r="N280" s="17">
        <v>903793.13399999996</v>
      </c>
      <c r="O280" s="18">
        <f>IFERROR(Table1[[#This Row],[30-7 stock lvl]]/Table1[[#This Row],[26-Aug]],0)</f>
        <v>3.7745977195887397</v>
      </c>
      <c r="P280" s="1" t="s">
        <v>824</v>
      </c>
    </row>
    <row r="281" spans="1:16" x14ac:dyDescent="0.25">
      <c r="A281" s="2">
        <v>101002001001</v>
      </c>
      <c r="B281" s="10" t="s">
        <v>686</v>
      </c>
      <c r="C281" s="6" t="s">
        <v>149</v>
      </c>
      <c r="D281" s="6" t="s">
        <v>827</v>
      </c>
      <c r="E281" s="21" t="s">
        <v>150</v>
      </c>
      <c r="G281" s="1" t="s">
        <v>129</v>
      </c>
      <c r="H281" s="1" t="s">
        <v>757</v>
      </c>
      <c r="I281" s="1" t="s">
        <v>782</v>
      </c>
      <c r="J281" s="24">
        <v>43466</v>
      </c>
      <c r="K281" s="16">
        <v>163370.22420000003</v>
      </c>
      <c r="L281" s="19">
        <v>182456.10249999998</v>
      </c>
      <c r="M281" s="19">
        <v>191753.8254</v>
      </c>
      <c r="N281" s="17">
        <v>717593.299</v>
      </c>
      <c r="O281" s="18">
        <f>IFERROR(Table1[[#This Row],[30-7 stock lvl]]/Table1[[#This Row],[26-Aug]],0)</f>
        <v>3.7422632769025319</v>
      </c>
      <c r="P281" s="1" t="s">
        <v>823</v>
      </c>
    </row>
    <row r="282" spans="1:16" x14ac:dyDescent="0.25">
      <c r="A282" s="2">
        <v>100202001029</v>
      </c>
      <c r="B282" s="10" t="s">
        <v>56</v>
      </c>
      <c r="C282" s="6" t="s">
        <v>57</v>
      </c>
      <c r="E282" s="21" t="s">
        <v>10</v>
      </c>
      <c r="G282" s="1" t="s">
        <v>7</v>
      </c>
      <c r="H282" s="1">
        <v>0</v>
      </c>
      <c r="I282" s="1" t="s">
        <v>782</v>
      </c>
      <c r="J282" s="24">
        <v>43101</v>
      </c>
      <c r="K282" s="16">
        <v>274992.01099999994</v>
      </c>
      <c r="L282" s="19">
        <v>280619.01370000007</v>
      </c>
      <c r="M282" s="19">
        <v>289023.0098</v>
      </c>
      <c r="N282" s="17">
        <v>1077340.0855</v>
      </c>
      <c r="O282" s="18">
        <f>IFERROR(Table1[[#This Row],[30-7 stock lvl]]/Table1[[#This Row],[26-Aug]],0)</f>
        <v>3.7275235845253456</v>
      </c>
      <c r="P282" s="1" t="s">
        <v>824</v>
      </c>
    </row>
    <row r="283" spans="1:16" x14ac:dyDescent="0.25">
      <c r="A283" s="2">
        <v>200203010811</v>
      </c>
      <c r="B283" s="10" t="s">
        <v>474</v>
      </c>
      <c r="C283" s="6" t="s">
        <v>721</v>
      </c>
      <c r="E283" s="21" t="s">
        <v>186</v>
      </c>
      <c r="G283" s="1" t="s">
        <v>129</v>
      </c>
      <c r="H283" s="1">
        <v>0</v>
      </c>
      <c r="I283" s="1" t="s">
        <v>767</v>
      </c>
      <c r="J283" s="24">
        <v>45691</v>
      </c>
      <c r="K283" s="16">
        <v>106579.00869999999</v>
      </c>
      <c r="L283" s="19">
        <v>101890.48499999999</v>
      </c>
      <c r="M283" s="19">
        <v>166083.245</v>
      </c>
      <c r="N283" s="17">
        <v>617818.52</v>
      </c>
      <c r="O283" s="18">
        <f>IFERROR(Table1[[#This Row],[30-7 stock lvl]]/Table1[[#This Row],[26-Aug]],0)</f>
        <v>3.7199328565623824</v>
      </c>
      <c r="P283" s="1" t="s">
        <v>823</v>
      </c>
    </row>
    <row r="284" spans="1:16" x14ac:dyDescent="0.25">
      <c r="A284" s="2">
        <v>200202001014</v>
      </c>
      <c r="B284" s="10" t="s">
        <v>402</v>
      </c>
      <c r="C284" s="6" t="s">
        <v>403</v>
      </c>
      <c r="E284" s="21" t="s">
        <v>389</v>
      </c>
      <c r="G284" s="1" t="s">
        <v>7</v>
      </c>
      <c r="H284" s="1">
        <v>0</v>
      </c>
      <c r="I284" s="1" t="s">
        <v>765</v>
      </c>
      <c r="J284" s="24">
        <v>45156</v>
      </c>
      <c r="K284" s="16">
        <v>198674.01</v>
      </c>
      <c r="L284" s="19">
        <v>235145.91999999998</v>
      </c>
      <c r="M284" s="19">
        <v>229535.6121</v>
      </c>
      <c r="N284" s="17">
        <v>850864.08250000002</v>
      </c>
      <c r="O284" s="18">
        <f>IFERROR(Table1[[#This Row],[30-7 stock lvl]]/Table1[[#This Row],[26-Aug]],0)</f>
        <v>3.7068935609403852</v>
      </c>
      <c r="P284" s="1" t="s">
        <v>824</v>
      </c>
    </row>
    <row r="285" spans="1:16" x14ac:dyDescent="0.25">
      <c r="A285" s="2">
        <v>200204030007</v>
      </c>
      <c r="B285" s="10" t="s">
        <v>522</v>
      </c>
      <c r="C285" s="6" t="s">
        <v>523</v>
      </c>
      <c r="E285" s="21" t="s">
        <v>511</v>
      </c>
      <c r="G285" s="1" t="s">
        <v>7</v>
      </c>
      <c r="H285" s="1">
        <v>0</v>
      </c>
      <c r="I285" s="1" t="s">
        <v>783</v>
      </c>
      <c r="J285" s="24">
        <v>44630</v>
      </c>
      <c r="K285" s="16">
        <v>257189.48390000005</v>
      </c>
      <c r="L285" s="19">
        <v>338453.8885</v>
      </c>
      <c r="M285" s="19">
        <v>328101.40669999999</v>
      </c>
      <c r="N285" s="17">
        <v>1216074.7949999999</v>
      </c>
      <c r="O285" s="18">
        <f>IFERROR(Table1[[#This Row],[30-7 stock lvl]]/Table1[[#This Row],[26-Aug]],0)</f>
        <v>3.706399211241175</v>
      </c>
      <c r="P285" s="1" t="s">
        <v>824</v>
      </c>
    </row>
    <row r="286" spans="1:16" x14ac:dyDescent="0.25">
      <c r="A286" s="2">
        <v>200201012000</v>
      </c>
      <c r="B286" s="10" t="s">
        <v>342</v>
      </c>
      <c r="C286" s="6" t="s">
        <v>343</v>
      </c>
      <c r="E286" s="21" t="s">
        <v>210</v>
      </c>
      <c r="G286" s="1" t="s">
        <v>129</v>
      </c>
      <c r="H286" s="1">
        <v>0</v>
      </c>
      <c r="I286" s="1" t="s">
        <v>782</v>
      </c>
      <c r="J286" s="24">
        <v>44690</v>
      </c>
      <c r="K286" s="16">
        <v>378565.23149999999</v>
      </c>
      <c r="L286" s="19">
        <v>308755.68699999998</v>
      </c>
      <c r="M286" s="19">
        <v>379038.48050000001</v>
      </c>
      <c r="N286" s="17">
        <v>1403453.9165000001</v>
      </c>
      <c r="O286" s="18">
        <f>IFERROR(Table1[[#This Row],[30-7 stock lvl]]/Table1[[#This Row],[26-Aug]],0)</f>
        <v>3.7026686964570605</v>
      </c>
      <c r="P286" s="1" t="s">
        <v>823</v>
      </c>
    </row>
    <row r="287" spans="1:16" x14ac:dyDescent="0.25">
      <c r="A287" s="2">
        <v>100202001045</v>
      </c>
      <c r="B287" s="10" t="s">
        <v>676</v>
      </c>
      <c r="C287" s="6" t="s">
        <v>71</v>
      </c>
      <c r="E287" s="21" t="s">
        <v>10</v>
      </c>
      <c r="G287" s="1" t="s">
        <v>7</v>
      </c>
      <c r="H287" s="1">
        <v>0</v>
      </c>
      <c r="I287" s="1" t="s">
        <v>782</v>
      </c>
      <c r="J287" s="24">
        <v>43922</v>
      </c>
      <c r="K287" s="16">
        <v>277938.39960000006</v>
      </c>
      <c r="L287" s="19">
        <v>303548.84999999992</v>
      </c>
      <c r="M287" s="19">
        <v>266453.86459999997</v>
      </c>
      <c r="N287" s="17">
        <v>985291.41399999999</v>
      </c>
      <c r="O287" s="18">
        <f>IFERROR(Table1[[#This Row],[30-7 stock lvl]]/Table1[[#This Row],[26-Aug]],0)</f>
        <v>3.6977936705069658</v>
      </c>
      <c r="P287" s="1" t="s">
        <v>824</v>
      </c>
    </row>
    <row r="288" spans="1:16" x14ac:dyDescent="0.25">
      <c r="A288" s="2">
        <v>100702001005</v>
      </c>
      <c r="B288" s="10" t="s">
        <v>684</v>
      </c>
      <c r="C288" s="6" t="s">
        <v>133</v>
      </c>
      <c r="E288" s="21" t="s">
        <v>79</v>
      </c>
      <c r="G288" s="1" t="s">
        <v>7</v>
      </c>
      <c r="H288" s="1">
        <v>0</v>
      </c>
      <c r="I288" s="1" t="s">
        <v>784</v>
      </c>
      <c r="J288" s="24">
        <v>43101</v>
      </c>
      <c r="K288" s="16">
        <v>150449.6912</v>
      </c>
      <c r="L288" s="19">
        <v>160514.35999999996</v>
      </c>
      <c r="M288" s="19">
        <v>159630.59935</v>
      </c>
      <c r="N288" s="17">
        <v>588178.14014999999</v>
      </c>
      <c r="O288" s="18">
        <f>IFERROR(Table1[[#This Row],[30-7 stock lvl]]/Table1[[#This Row],[26-Aug]],0)</f>
        <v>3.684620257926758</v>
      </c>
      <c r="P288" s="1" t="s">
        <v>823</v>
      </c>
    </row>
    <row r="289" spans="1:16" x14ac:dyDescent="0.25">
      <c r="A289" s="2">
        <v>200204030021</v>
      </c>
      <c r="B289" s="10" t="s">
        <v>731</v>
      </c>
      <c r="C289" s="6" t="s">
        <v>545</v>
      </c>
      <c r="E289" s="21" t="s">
        <v>158</v>
      </c>
      <c r="G289" s="1" t="s">
        <v>7</v>
      </c>
      <c r="H289" s="1">
        <v>0</v>
      </c>
      <c r="I289" s="1" t="s">
        <v>785</v>
      </c>
      <c r="J289" s="24">
        <v>45160</v>
      </c>
      <c r="K289" s="16">
        <v>188053.69230000002</v>
      </c>
      <c r="L289" s="19">
        <v>225685.3798</v>
      </c>
      <c r="M289" s="19">
        <v>220836.6286</v>
      </c>
      <c r="N289" s="17">
        <v>813454.64199999999</v>
      </c>
      <c r="O289" s="18">
        <f>IFERROR(Table1[[#This Row],[30-7 stock lvl]]/Table1[[#This Row],[26-Aug]],0)</f>
        <v>3.6835132249433373</v>
      </c>
      <c r="P289" s="1" t="s">
        <v>824</v>
      </c>
    </row>
    <row r="290" spans="1:16" x14ac:dyDescent="0.25">
      <c r="A290" s="2">
        <v>100302001006</v>
      </c>
      <c r="B290" s="10" t="s">
        <v>80</v>
      </c>
      <c r="C290" s="6" t="s">
        <v>81</v>
      </c>
      <c r="E290" s="21" t="s">
        <v>10</v>
      </c>
      <c r="G290" s="1" t="s">
        <v>7</v>
      </c>
      <c r="H290" s="1">
        <v>0</v>
      </c>
      <c r="I290" s="1" t="s">
        <v>782</v>
      </c>
      <c r="J290" s="24">
        <v>43101</v>
      </c>
      <c r="K290" s="16">
        <v>210247.41340000002</v>
      </c>
      <c r="L290" s="19">
        <v>244003.01314999996</v>
      </c>
      <c r="M290" s="19">
        <v>228991.49785000001</v>
      </c>
      <c r="N290" s="17">
        <v>842755.18055000005</v>
      </c>
      <c r="O290" s="18">
        <f>IFERROR(Table1[[#This Row],[30-7 stock lvl]]/Table1[[#This Row],[26-Aug]],0)</f>
        <v>3.6802902660693695</v>
      </c>
      <c r="P290" s="1" t="s">
        <v>824</v>
      </c>
    </row>
    <row r="291" spans="1:16" x14ac:dyDescent="0.25">
      <c r="A291" s="2">
        <v>200201010100</v>
      </c>
      <c r="B291" s="10" t="s">
        <v>201</v>
      </c>
      <c r="C291" s="6" t="s">
        <v>202</v>
      </c>
      <c r="E291" s="21" t="s">
        <v>6</v>
      </c>
      <c r="G291" s="1" t="s">
        <v>7</v>
      </c>
      <c r="H291" s="1">
        <v>0</v>
      </c>
      <c r="I291" s="1" t="s">
        <v>782</v>
      </c>
      <c r="J291" s="24">
        <v>44348</v>
      </c>
      <c r="K291" s="16">
        <v>307234.60460000002</v>
      </c>
      <c r="L291" s="19">
        <v>356486.55749999994</v>
      </c>
      <c r="M291" s="19">
        <v>390569.44990000001</v>
      </c>
      <c r="N291" s="17">
        <v>1431422.0234999999</v>
      </c>
      <c r="O291" s="18">
        <f>IFERROR(Table1[[#This Row],[30-7 stock lvl]]/Table1[[#This Row],[26-Aug]],0)</f>
        <v>3.6649615679528851</v>
      </c>
      <c r="P291" s="1" t="s">
        <v>823</v>
      </c>
    </row>
    <row r="292" spans="1:16" x14ac:dyDescent="0.25">
      <c r="A292" s="2">
        <v>200204030011</v>
      </c>
      <c r="B292" s="10" t="s">
        <v>529</v>
      </c>
      <c r="C292" s="6" t="s">
        <v>530</v>
      </c>
      <c r="E292" s="21" t="s">
        <v>491</v>
      </c>
      <c r="G292" s="1" t="s">
        <v>7</v>
      </c>
      <c r="H292" s="1">
        <v>0</v>
      </c>
      <c r="I292" s="1" t="s">
        <v>785</v>
      </c>
      <c r="J292" s="24">
        <v>44907</v>
      </c>
      <c r="K292" s="16">
        <v>140962.22750000001</v>
      </c>
      <c r="L292" s="19">
        <v>156244.11670000001</v>
      </c>
      <c r="M292" s="19">
        <v>195571.38399999999</v>
      </c>
      <c r="N292" s="17">
        <v>716497.86499999999</v>
      </c>
      <c r="O292" s="18">
        <f>IFERROR(Table1[[#This Row],[30-7 stock lvl]]/Table1[[#This Row],[26-Aug]],0)</f>
        <v>3.663613000764979</v>
      </c>
      <c r="P292" s="1" t="s">
        <v>824</v>
      </c>
    </row>
    <row r="293" spans="1:16" x14ac:dyDescent="0.25">
      <c r="A293" s="2">
        <v>200204030003</v>
      </c>
      <c r="B293" s="10" t="s">
        <v>514</v>
      </c>
      <c r="C293" s="6" t="s">
        <v>515</v>
      </c>
      <c r="E293" s="21" t="s">
        <v>511</v>
      </c>
      <c r="G293" s="1" t="s">
        <v>7</v>
      </c>
      <c r="H293" s="1">
        <v>0</v>
      </c>
      <c r="I293" s="1" t="s">
        <v>783</v>
      </c>
      <c r="J293" s="24">
        <v>44413</v>
      </c>
      <c r="K293" s="16">
        <v>218059.12950000001</v>
      </c>
      <c r="L293" s="19">
        <v>215189.51500000001</v>
      </c>
      <c r="M293" s="19">
        <v>223047.29380000001</v>
      </c>
      <c r="N293" s="17">
        <v>816962.00549999997</v>
      </c>
      <c r="O293" s="18">
        <f>IFERROR(Table1[[#This Row],[30-7 stock lvl]]/Table1[[#This Row],[26-Aug]],0)</f>
        <v>3.6627299600081491</v>
      </c>
      <c r="P293" s="1" t="s">
        <v>823</v>
      </c>
    </row>
    <row r="294" spans="1:16" x14ac:dyDescent="0.25">
      <c r="A294" s="2">
        <v>200201010958</v>
      </c>
      <c r="B294" s="10" t="s">
        <v>319</v>
      </c>
      <c r="C294" s="6" t="s">
        <v>320</v>
      </c>
      <c r="E294" s="21" t="s">
        <v>186</v>
      </c>
      <c r="G294" s="1" t="s">
        <v>129</v>
      </c>
      <c r="H294" s="1">
        <v>0</v>
      </c>
      <c r="I294" s="1" t="s">
        <v>782</v>
      </c>
      <c r="J294" s="24">
        <v>45699</v>
      </c>
      <c r="K294" s="16">
        <v>229940.48750000002</v>
      </c>
      <c r="L294" s="19">
        <v>240541.84000000003</v>
      </c>
      <c r="M294" s="19">
        <v>283520.34850000002</v>
      </c>
      <c r="N294" s="17">
        <v>1038343.6485</v>
      </c>
      <c r="O294" s="18">
        <f>IFERROR(Table1[[#This Row],[30-7 stock lvl]]/Table1[[#This Row],[26-Aug]],0)</f>
        <v>3.6623249583089446</v>
      </c>
      <c r="P294" s="1" t="s">
        <v>823</v>
      </c>
    </row>
    <row r="295" spans="1:16" x14ac:dyDescent="0.25">
      <c r="A295" s="2">
        <v>200201010940</v>
      </c>
      <c r="B295" s="10" t="s">
        <v>284</v>
      </c>
      <c r="C295" s="6" t="s">
        <v>285</v>
      </c>
      <c r="E295" s="21" t="s">
        <v>10</v>
      </c>
      <c r="G295" s="1" t="s">
        <v>7</v>
      </c>
      <c r="H295" s="1">
        <v>0</v>
      </c>
      <c r="I295" s="1" t="s">
        <v>782</v>
      </c>
      <c r="J295" s="24">
        <v>45472</v>
      </c>
      <c r="K295" s="16">
        <v>191318.7107</v>
      </c>
      <c r="L295" s="19">
        <v>192133.02</v>
      </c>
      <c r="M295" s="19">
        <v>190140.84719999999</v>
      </c>
      <c r="N295" s="17">
        <v>692337.51300000004</v>
      </c>
      <c r="O295" s="18">
        <f>IFERROR(Table1[[#This Row],[30-7 stock lvl]]/Table1[[#This Row],[26-Aug]],0)</f>
        <v>3.6411824349965349</v>
      </c>
      <c r="P295" s="1" t="s">
        <v>823</v>
      </c>
    </row>
    <row r="296" spans="1:16" x14ac:dyDescent="0.25">
      <c r="A296" s="2">
        <v>200201030600</v>
      </c>
      <c r="B296" s="10" t="s">
        <v>358</v>
      </c>
      <c r="C296" s="6" t="s">
        <v>359</v>
      </c>
      <c r="E296" s="21" t="s">
        <v>79</v>
      </c>
      <c r="G296" s="1" t="s">
        <v>7</v>
      </c>
      <c r="H296" s="1">
        <v>0</v>
      </c>
      <c r="I296" s="1" t="s">
        <v>784</v>
      </c>
      <c r="J296" s="24">
        <v>44982</v>
      </c>
      <c r="K296" s="16">
        <v>291326.20299999998</v>
      </c>
      <c r="L296" s="19">
        <v>327721.08319999994</v>
      </c>
      <c r="M296" s="19">
        <v>294600.5563</v>
      </c>
      <c r="N296" s="17">
        <v>1067028.628</v>
      </c>
      <c r="O296" s="18">
        <f>IFERROR(Table1[[#This Row],[30-7 stock lvl]]/Table1[[#This Row],[26-Aug]],0)</f>
        <v>3.6219504857737435</v>
      </c>
      <c r="P296" s="1" t="s">
        <v>823</v>
      </c>
    </row>
    <row r="297" spans="1:16" x14ac:dyDescent="0.25">
      <c r="A297" s="2">
        <v>200201030800</v>
      </c>
      <c r="B297" s="10" t="s">
        <v>360</v>
      </c>
      <c r="C297" s="6" t="s">
        <v>361</v>
      </c>
      <c r="E297" s="21" t="s">
        <v>79</v>
      </c>
      <c r="G297" s="1" t="s">
        <v>7</v>
      </c>
      <c r="H297" s="1">
        <v>0</v>
      </c>
      <c r="I297" s="1" t="s">
        <v>784</v>
      </c>
      <c r="J297" s="24">
        <v>43831</v>
      </c>
      <c r="K297" s="16">
        <v>259163.87079999998</v>
      </c>
      <c r="L297" s="19">
        <v>261688.75580000001</v>
      </c>
      <c r="M297" s="19">
        <v>296810.48310000001</v>
      </c>
      <c r="N297" s="17">
        <v>1070369.6174999999</v>
      </c>
      <c r="O297" s="18">
        <f>IFERROR(Table1[[#This Row],[30-7 stock lvl]]/Table1[[#This Row],[26-Aug]],0)</f>
        <v>3.6062392619042907</v>
      </c>
      <c r="P297" s="1" t="s">
        <v>823</v>
      </c>
    </row>
    <row r="298" spans="1:16" x14ac:dyDescent="0.25">
      <c r="A298" s="2">
        <v>100202001036</v>
      </c>
      <c r="B298" s="10" t="s">
        <v>64</v>
      </c>
      <c r="C298" s="6" t="s">
        <v>65</v>
      </c>
      <c r="E298" s="21" t="s">
        <v>10</v>
      </c>
      <c r="G298" s="1" t="s">
        <v>7</v>
      </c>
      <c r="H298" s="1">
        <v>0</v>
      </c>
      <c r="I298" s="1" t="s">
        <v>782</v>
      </c>
      <c r="J298" s="24">
        <v>44197</v>
      </c>
      <c r="K298" s="16">
        <v>272502.88190000009</v>
      </c>
      <c r="L298" s="19">
        <v>301661.79000000004</v>
      </c>
      <c r="M298" s="19">
        <v>342878.61129999999</v>
      </c>
      <c r="N298" s="17">
        <v>1232456.196</v>
      </c>
      <c r="O298" s="18">
        <f>IFERROR(Table1[[#This Row],[30-7 stock lvl]]/Table1[[#This Row],[26-Aug]],0)</f>
        <v>3.5944388345695568</v>
      </c>
      <c r="P298" s="1" t="s">
        <v>824</v>
      </c>
    </row>
    <row r="299" spans="1:16" x14ac:dyDescent="0.25">
      <c r="A299" s="2">
        <v>200204030042</v>
      </c>
      <c r="B299" s="10" t="s">
        <v>584</v>
      </c>
      <c r="C299" s="6" t="s">
        <v>585</v>
      </c>
      <c r="E299" s="21" t="s">
        <v>491</v>
      </c>
      <c r="G299" s="1" t="s">
        <v>7</v>
      </c>
      <c r="H299" s="1">
        <v>0</v>
      </c>
      <c r="I299" s="1" t="s">
        <v>785</v>
      </c>
      <c r="J299" s="24">
        <v>45803</v>
      </c>
      <c r="K299" s="16">
        <v>157052.96109999996</v>
      </c>
      <c r="L299" s="19">
        <v>251579.29509999996</v>
      </c>
      <c r="M299" s="19">
        <v>228648.85930000001</v>
      </c>
      <c r="N299" s="17">
        <v>807341.19350000005</v>
      </c>
      <c r="O299" s="18">
        <f>IFERROR(Table1[[#This Row],[30-7 stock lvl]]/Table1[[#This Row],[26-Aug]],0)</f>
        <v>3.5309215885513057</v>
      </c>
      <c r="P299" s="1" t="s">
        <v>823</v>
      </c>
    </row>
    <row r="300" spans="1:16" x14ac:dyDescent="0.25">
      <c r="A300" s="2">
        <v>200205010901</v>
      </c>
      <c r="B300" s="10" t="s">
        <v>625</v>
      </c>
      <c r="C300" s="6" t="s">
        <v>626</v>
      </c>
      <c r="E300" s="21" t="s">
        <v>128</v>
      </c>
      <c r="G300" s="1" t="s">
        <v>129</v>
      </c>
      <c r="H300" s="1" t="s">
        <v>762</v>
      </c>
      <c r="I300" s="1" t="s">
        <v>764</v>
      </c>
      <c r="J300" s="24">
        <v>45306</v>
      </c>
      <c r="K300" s="16">
        <v>363951.18450000015</v>
      </c>
      <c r="L300" s="19">
        <v>330701.28000000003</v>
      </c>
      <c r="M300" s="19">
        <v>283741.28249999997</v>
      </c>
      <c r="N300" s="17">
        <v>997025.42949999997</v>
      </c>
      <c r="O300" s="18">
        <f>IFERROR(Table1[[#This Row],[30-7 stock lvl]]/Table1[[#This Row],[26-Aug]],0)</f>
        <v>3.5138539613106881</v>
      </c>
      <c r="P300" s="1" t="s">
        <v>823</v>
      </c>
    </row>
    <row r="301" spans="1:16" x14ac:dyDescent="0.25">
      <c r="A301" s="2">
        <v>100202001002</v>
      </c>
      <c r="B301" s="10" t="s">
        <v>4</v>
      </c>
      <c r="C301" s="6" t="s">
        <v>5</v>
      </c>
      <c r="E301" s="21" t="s">
        <v>6</v>
      </c>
      <c r="G301" s="1" t="s">
        <v>7</v>
      </c>
      <c r="H301" s="1">
        <v>0</v>
      </c>
      <c r="I301" s="1" t="s">
        <v>782</v>
      </c>
      <c r="J301" s="24">
        <v>42370</v>
      </c>
      <c r="K301" s="16">
        <v>436083.68950000015</v>
      </c>
      <c r="L301" s="19">
        <v>544587.08250000002</v>
      </c>
      <c r="M301" s="19">
        <v>458369.52140000003</v>
      </c>
      <c r="N301" s="17">
        <v>1600914.7895</v>
      </c>
      <c r="O301" s="18">
        <f>IFERROR(Table1[[#This Row],[30-7 stock lvl]]/Table1[[#This Row],[26-Aug]],0)</f>
        <v>3.4926292320011134</v>
      </c>
      <c r="P301" s="1" t="s">
        <v>825</v>
      </c>
    </row>
    <row r="302" spans="1:16" x14ac:dyDescent="0.25">
      <c r="A302" s="2">
        <v>102002002001</v>
      </c>
      <c r="B302" s="10" t="s">
        <v>189</v>
      </c>
      <c r="C302" s="6" t="s">
        <v>190</v>
      </c>
      <c r="E302" s="21" t="s">
        <v>128</v>
      </c>
      <c r="G302" s="1" t="s">
        <v>129</v>
      </c>
      <c r="H302" s="1">
        <v>0</v>
      </c>
      <c r="I302" s="1" t="s">
        <v>782</v>
      </c>
      <c r="J302" s="24">
        <v>44166</v>
      </c>
      <c r="K302" s="16">
        <v>400808.67159999994</v>
      </c>
      <c r="L302" s="19">
        <v>402045.88000000006</v>
      </c>
      <c r="M302" s="19">
        <v>295581.00699999998</v>
      </c>
      <c r="N302" s="17">
        <v>1029597.4595</v>
      </c>
      <c r="O302" s="18">
        <f>IFERROR(Table1[[#This Row],[30-7 stock lvl]]/Table1[[#This Row],[26-Aug]],0)</f>
        <v>3.483300466257631</v>
      </c>
      <c r="P302" s="1" t="s">
        <v>823</v>
      </c>
    </row>
    <row r="303" spans="1:16" x14ac:dyDescent="0.25">
      <c r="A303" s="2">
        <v>101202001007</v>
      </c>
      <c r="B303" s="10" t="s">
        <v>169</v>
      </c>
      <c r="C303" s="6" t="s">
        <v>170</v>
      </c>
      <c r="E303" s="21" t="s">
        <v>158</v>
      </c>
      <c r="G303" s="1" t="s">
        <v>7</v>
      </c>
      <c r="H303" s="1">
        <v>0</v>
      </c>
      <c r="I303" s="1" t="s">
        <v>763</v>
      </c>
      <c r="J303" s="24">
        <v>45008</v>
      </c>
      <c r="K303" s="16">
        <v>212999.98919999998</v>
      </c>
      <c r="L303" s="19">
        <v>245972.52250000005</v>
      </c>
      <c r="M303" s="19">
        <v>228620.61040000001</v>
      </c>
      <c r="N303" s="17">
        <v>795456.88800000004</v>
      </c>
      <c r="O303" s="18">
        <f>IFERROR(Table1[[#This Row],[30-7 stock lvl]]/Table1[[#This Row],[26-Aug]],0)</f>
        <v>3.4793752260929143</v>
      </c>
      <c r="P303" s="1" t="s">
        <v>823</v>
      </c>
    </row>
    <row r="304" spans="1:16" x14ac:dyDescent="0.25">
      <c r="A304" s="2">
        <v>100202001021</v>
      </c>
      <c r="B304" s="10" t="s">
        <v>46</v>
      </c>
      <c r="C304" s="6" t="s">
        <v>47</v>
      </c>
      <c r="D304" s="6" t="s">
        <v>827</v>
      </c>
      <c r="E304" s="21" t="s">
        <v>13</v>
      </c>
      <c r="G304" s="1" t="s">
        <v>7</v>
      </c>
      <c r="H304" s="1">
        <v>0</v>
      </c>
      <c r="I304" s="1" t="s">
        <v>782</v>
      </c>
      <c r="J304" s="24">
        <v>43101</v>
      </c>
      <c r="K304" s="16">
        <v>240888.85609999998</v>
      </c>
      <c r="L304" s="19">
        <v>268586.60249999992</v>
      </c>
      <c r="M304" s="19">
        <v>263217.1888</v>
      </c>
      <c r="N304" s="17">
        <v>912929.82799999998</v>
      </c>
      <c r="O304" s="18">
        <f>IFERROR(Table1[[#This Row],[30-7 stock lvl]]/Table1[[#This Row],[26-Aug]],0)</f>
        <v>3.4683518662364801</v>
      </c>
      <c r="P304" s="1" t="s">
        <v>823</v>
      </c>
    </row>
    <row r="305" spans="1:16" x14ac:dyDescent="0.25">
      <c r="A305" s="2">
        <v>100302001023</v>
      </c>
      <c r="B305" s="10" t="s">
        <v>98</v>
      </c>
      <c r="C305" s="6" t="s">
        <v>99</v>
      </c>
      <c r="D305" s="6" t="s">
        <v>827</v>
      </c>
      <c r="E305" s="21" t="s">
        <v>13</v>
      </c>
      <c r="G305" s="1" t="s">
        <v>7</v>
      </c>
      <c r="H305" s="1">
        <v>0</v>
      </c>
      <c r="I305" s="1" t="s">
        <v>782</v>
      </c>
      <c r="J305" s="24">
        <v>43466</v>
      </c>
      <c r="K305" s="16">
        <v>236158.70630000002</v>
      </c>
      <c r="L305" s="19">
        <v>271448.39349999995</v>
      </c>
      <c r="M305" s="19">
        <v>236105.64199999999</v>
      </c>
      <c r="N305" s="17">
        <v>816991.23549999995</v>
      </c>
      <c r="O305" s="18">
        <f>IFERROR(Table1[[#This Row],[30-7 stock lvl]]/Table1[[#This Row],[26-Aug]],0)</f>
        <v>3.4602783253269314</v>
      </c>
      <c r="P305" s="1" t="s">
        <v>823</v>
      </c>
    </row>
    <row r="306" spans="1:16" x14ac:dyDescent="0.25">
      <c r="A306" s="2">
        <v>200204030015</v>
      </c>
      <c r="B306" s="10" t="s">
        <v>535</v>
      </c>
      <c r="C306" s="6" t="s">
        <v>536</v>
      </c>
      <c r="E306" s="21" t="s">
        <v>158</v>
      </c>
      <c r="G306" s="1" t="s">
        <v>7</v>
      </c>
      <c r="H306" s="1">
        <v>0</v>
      </c>
      <c r="I306" s="1" t="s">
        <v>785</v>
      </c>
      <c r="J306" s="24">
        <v>45053</v>
      </c>
      <c r="K306" s="16">
        <v>255546.65299999999</v>
      </c>
      <c r="L306" s="19">
        <v>325733.62079999998</v>
      </c>
      <c r="M306" s="19">
        <v>301929.59539999999</v>
      </c>
      <c r="N306" s="17">
        <v>1038345.85675</v>
      </c>
      <c r="O306" s="18">
        <f>IFERROR(Table1[[#This Row],[30-7 stock lvl]]/Table1[[#This Row],[26-Aug]],0)</f>
        <v>3.439033048000435</v>
      </c>
      <c r="P306" s="1" t="s">
        <v>824</v>
      </c>
    </row>
    <row r="307" spans="1:16" x14ac:dyDescent="0.25">
      <c r="A307" s="2">
        <v>100202001039</v>
      </c>
      <c r="B307" s="10" t="s">
        <v>675</v>
      </c>
      <c r="C307" s="6" t="s">
        <v>70</v>
      </c>
      <c r="E307" s="21" t="s">
        <v>6</v>
      </c>
      <c r="G307" s="1" t="s">
        <v>7</v>
      </c>
      <c r="H307" s="1">
        <v>0</v>
      </c>
      <c r="I307" s="1" t="s">
        <v>782</v>
      </c>
      <c r="J307" s="24">
        <v>44348</v>
      </c>
      <c r="K307" s="16">
        <v>647598.89449999994</v>
      </c>
      <c r="L307" s="19">
        <v>770891.12999999989</v>
      </c>
      <c r="M307" s="19">
        <v>703928.54</v>
      </c>
      <c r="N307" s="17">
        <v>2417966.034</v>
      </c>
      <c r="O307" s="18">
        <f>IFERROR(Table1[[#This Row],[30-7 stock lvl]]/Table1[[#This Row],[26-Aug]],0)</f>
        <v>3.4349595116572482</v>
      </c>
      <c r="P307" s="1" t="s">
        <v>824</v>
      </c>
    </row>
    <row r="308" spans="1:16" x14ac:dyDescent="0.25">
      <c r="A308" s="2">
        <v>100502001001</v>
      </c>
      <c r="B308" s="10" t="s">
        <v>112</v>
      </c>
      <c r="C308" s="6" t="s">
        <v>113</v>
      </c>
      <c r="E308" s="21" t="s">
        <v>6</v>
      </c>
      <c r="G308" s="1" t="s">
        <v>7</v>
      </c>
      <c r="H308" s="1">
        <v>0</v>
      </c>
      <c r="I308" s="1" t="s">
        <v>782</v>
      </c>
      <c r="J308" s="24">
        <v>42370</v>
      </c>
      <c r="K308" s="16">
        <v>336404.84190000012</v>
      </c>
      <c r="L308" s="19">
        <v>348051.09700000007</v>
      </c>
      <c r="M308" s="19">
        <v>349914.56420000002</v>
      </c>
      <c r="N308" s="17">
        <v>1199442.7105</v>
      </c>
      <c r="O308" s="18">
        <f>IFERROR(Table1[[#This Row],[30-7 stock lvl]]/Table1[[#This Row],[26-Aug]],0)</f>
        <v>3.4278159105559172</v>
      </c>
      <c r="P308" s="1" t="s">
        <v>824</v>
      </c>
    </row>
    <row r="309" spans="1:16" x14ac:dyDescent="0.25">
      <c r="A309" s="2">
        <v>200202001001</v>
      </c>
      <c r="B309" s="10" t="s">
        <v>383</v>
      </c>
      <c r="C309" s="6" t="s">
        <v>384</v>
      </c>
      <c r="E309" s="21" t="s">
        <v>389</v>
      </c>
      <c r="G309" s="1" t="s">
        <v>7</v>
      </c>
      <c r="H309" s="1">
        <v>0</v>
      </c>
      <c r="I309" s="1" t="s">
        <v>765</v>
      </c>
      <c r="J309" s="24">
        <v>44440</v>
      </c>
      <c r="K309" s="16">
        <v>159491.69910000003</v>
      </c>
      <c r="L309" s="19">
        <v>189979.7065</v>
      </c>
      <c r="M309" s="19">
        <v>203649.0497</v>
      </c>
      <c r="N309" s="17">
        <v>696170.11399999994</v>
      </c>
      <c r="O309" s="18">
        <f>IFERROR(Table1[[#This Row],[30-7 stock lvl]]/Table1[[#This Row],[26-Aug]],0)</f>
        <v>3.4184795609188643</v>
      </c>
      <c r="P309" s="1" t="s">
        <v>824</v>
      </c>
    </row>
    <row r="310" spans="1:16" x14ac:dyDescent="0.25">
      <c r="A310" s="2">
        <v>200203010300</v>
      </c>
      <c r="B310" s="10" t="s">
        <v>445</v>
      </c>
      <c r="C310" s="6" t="s">
        <v>446</v>
      </c>
      <c r="E310" s="21" t="s">
        <v>186</v>
      </c>
      <c r="G310" s="1" t="s">
        <v>129</v>
      </c>
      <c r="H310" s="1">
        <v>0</v>
      </c>
      <c r="I310" s="1" t="s">
        <v>767</v>
      </c>
      <c r="J310" s="24">
        <v>45192</v>
      </c>
      <c r="K310" s="16">
        <v>170318.82999999996</v>
      </c>
      <c r="L310" s="19">
        <v>169388.83000000005</v>
      </c>
      <c r="M310" s="19">
        <v>181594.01</v>
      </c>
      <c r="N310" s="17">
        <v>620749.89</v>
      </c>
      <c r="O310" s="18">
        <f>IFERROR(Table1[[#This Row],[30-7 stock lvl]]/Table1[[#This Row],[26-Aug]],0)</f>
        <v>3.4183390190017833</v>
      </c>
      <c r="P310" s="1" t="s">
        <v>823</v>
      </c>
    </row>
    <row r="311" spans="1:16" x14ac:dyDescent="0.25">
      <c r="A311" s="2">
        <v>100702001007</v>
      </c>
      <c r="B311" s="10" t="s">
        <v>685</v>
      </c>
      <c r="C311" s="6" t="s">
        <v>134</v>
      </c>
      <c r="E311" s="21" t="s">
        <v>79</v>
      </c>
      <c r="G311" s="1" t="s">
        <v>7</v>
      </c>
      <c r="H311" s="1">
        <v>0</v>
      </c>
      <c r="I311" s="1" t="s">
        <v>784</v>
      </c>
      <c r="J311" s="24">
        <v>43101</v>
      </c>
      <c r="K311" s="16">
        <v>267857.38529999997</v>
      </c>
      <c r="L311" s="19">
        <v>288425.924</v>
      </c>
      <c r="M311" s="19">
        <v>319225.34409999999</v>
      </c>
      <c r="N311" s="17">
        <v>1090657.1095</v>
      </c>
      <c r="O311" s="18">
        <f>IFERROR(Table1[[#This Row],[30-7 stock lvl]]/Table1[[#This Row],[26-Aug]],0)</f>
        <v>3.4165743092075505</v>
      </c>
      <c r="P311" s="1" t="s">
        <v>823</v>
      </c>
    </row>
    <row r="312" spans="1:16" x14ac:dyDescent="0.25">
      <c r="A312" s="2">
        <v>200204030025</v>
      </c>
      <c r="B312" s="10" t="s">
        <v>552</v>
      </c>
      <c r="C312" s="6" t="s">
        <v>553</v>
      </c>
      <c r="E312" s="21" t="s">
        <v>491</v>
      </c>
      <c r="F312" s="1" t="s">
        <v>29</v>
      </c>
      <c r="G312" s="1" t="s">
        <v>7</v>
      </c>
      <c r="H312" s="1">
        <v>0</v>
      </c>
      <c r="I312" s="1" t="s">
        <v>785</v>
      </c>
      <c r="J312" s="24">
        <v>45323</v>
      </c>
      <c r="K312" s="16">
        <v>123394.0144</v>
      </c>
      <c r="L312" s="19">
        <v>152902.48920000001</v>
      </c>
      <c r="M312" s="19">
        <v>175877.70060000001</v>
      </c>
      <c r="N312" s="17">
        <v>599861.31000000006</v>
      </c>
      <c r="O312" s="18">
        <f>IFERROR(Table1[[#This Row],[30-7 stock lvl]]/Table1[[#This Row],[26-Aug]],0)</f>
        <v>3.4106729162002702</v>
      </c>
      <c r="P312" s="1" t="s">
        <v>824</v>
      </c>
    </row>
    <row r="313" spans="1:16" x14ac:dyDescent="0.25">
      <c r="A313" s="2">
        <v>100202001024</v>
      </c>
      <c r="B313" s="10" t="s">
        <v>48</v>
      </c>
      <c r="C313" s="6" t="s">
        <v>49</v>
      </c>
      <c r="E313" s="21" t="s">
        <v>13</v>
      </c>
      <c r="F313" s="1" t="s">
        <v>29</v>
      </c>
      <c r="G313" s="1" t="s">
        <v>7</v>
      </c>
      <c r="H313" s="1">
        <v>0</v>
      </c>
      <c r="I313" s="1" t="s">
        <v>782</v>
      </c>
      <c r="J313" s="24">
        <v>43101</v>
      </c>
      <c r="K313" s="16">
        <v>134930.03369999997</v>
      </c>
      <c r="L313" s="19">
        <v>170308.84300000005</v>
      </c>
      <c r="M313" s="19">
        <v>181020.47210000001</v>
      </c>
      <c r="N313" s="17">
        <v>612489.94999999995</v>
      </c>
      <c r="O313" s="18">
        <f>IFERROR(Table1[[#This Row],[30-7 stock lvl]]/Table1[[#This Row],[26-Aug]],0)</f>
        <v>3.3835396786593614</v>
      </c>
      <c r="P313" s="1" t="s">
        <v>823</v>
      </c>
    </row>
    <row r="314" spans="1:16" x14ac:dyDescent="0.25">
      <c r="A314" s="2">
        <v>200201010943</v>
      </c>
      <c r="B314" s="10" t="s">
        <v>290</v>
      </c>
      <c r="C314" s="6" t="s">
        <v>291</v>
      </c>
      <c r="D314" s="6" t="s">
        <v>827</v>
      </c>
      <c r="E314" s="21" t="s">
        <v>150</v>
      </c>
      <c r="G314" s="1" t="s">
        <v>129</v>
      </c>
      <c r="H314" s="1">
        <v>0</v>
      </c>
      <c r="I314" s="1" t="s">
        <v>782</v>
      </c>
      <c r="J314" s="24">
        <v>45518</v>
      </c>
      <c r="K314" s="16">
        <v>172166.65740000003</v>
      </c>
      <c r="L314" s="19">
        <v>196923.09299999999</v>
      </c>
      <c r="M314" s="19">
        <v>213323.5515</v>
      </c>
      <c r="N314" s="17">
        <v>719651.40150000004</v>
      </c>
      <c r="O314" s="18">
        <f>IFERROR(Table1[[#This Row],[30-7 stock lvl]]/Table1[[#This Row],[26-Aug]],0)</f>
        <v>3.3735206283587496</v>
      </c>
      <c r="P314" s="1" t="s">
        <v>823</v>
      </c>
    </row>
    <row r="315" spans="1:16" x14ac:dyDescent="0.25">
      <c r="A315" s="2">
        <v>200201010911</v>
      </c>
      <c r="B315" s="10" t="s">
        <v>235</v>
      </c>
      <c r="C315" s="6" t="s">
        <v>236</v>
      </c>
      <c r="E315" s="21" t="s">
        <v>6</v>
      </c>
      <c r="G315" s="1" t="s">
        <v>7</v>
      </c>
      <c r="H315" s="1">
        <v>0</v>
      </c>
      <c r="I315" s="1" t="s">
        <v>782</v>
      </c>
      <c r="J315" s="24">
        <v>44970</v>
      </c>
      <c r="K315" s="16">
        <v>325004.43629999988</v>
      </c>
      <c r="L315" s="19">
        <v>485953.20309999998</v>
      </c>
      <c r="M315" s="19">
        <v>361059.25260000001</v>
      </c>
      <c r="N315" s="17">
        <v>1200612.2755</v>
      </c>
      <c r="O315" s="18">
        <f>IFERROR(Table1[[#This Row],[30-7 stock lvl]]/Table1[[#This Row],[26-Aug]],0)</f>
        <v>3.3252499883449875</v>
      </c>
      <c r="P315" s="1" t="s">
        <v>823</v>
      </c>
    </row>
    <row r="316" spans="1:16" x14ac:dyDescent="0.25">
      <c r="A316" s="2">
        <v>101202001003</v>
      </c>
      <c r="B316" s="10" t="s">
        <v>161</v>
      </c>
      <c r="C316" s="6" t="s">
        <v>162</v>
      </c>
      <c r="E316" s="21" t="s">
        <v>158</v>
      </c>
      <c r="G316" s="1" t="s">
        <v>7</v>
      </c>
      <c r="H316" s="1">
        <v>0</v>
      </c>
      <c r="I316" s="1" t="s">
        <v>763</v>
      </c>
      <c r="J316" s="24">
        <v>43831</v>
      </c>
      <c r="K316" s="16">
        <v>231176.36169999995</v>
      </c>
      <c r="L316" s="19">
        <v>242303.39850000001</v>
      </c>
      <c r="M316" s="19">
        <v>236897.01620000001</v>
      </c>
      <c r="N316" s="17">
        <v>780691.13150000002</v>
      </c>
      <c r="O316" s="18">
        <f>IFERROR(Table1[[#This Row],[30-7 stock lvl]]/Table1[[#This Row],[26-Aug]],0)</f>
        <v>3.2954873979539805</v>
      </c>
      <c r="P316" s="1" t="s">
        <v>823</v>
      </c>
    </row>
    <row r="317" spans="1:16" x14ac:dyDescent="0.25">
      <c r="A317" s="2">
        <v>200204030023</v>
      </c>
      <c r="B317" s="10" t="s">
        <v>548</v>
      </c>
      <c r="C317" s="6" t="s">
        <v>549</v>
      </c>
      <c r="E317" s="21" t="s">
        <v>186</v>
      </c>
      <c r="G317" s="1" t="s">
        <v>129</v>
      </c>
      <c r="H317" s="1">
        <v>0</v>
      </c>
      <c r="I317" s="1" t="s">
        <v>785</v>
      </c>
      <c r="J317" s="24">
        <v>45189</v>
      </c>
      <c r="K317" s="16">
        <v>276754.16450000007</v>
      </c>
      <c r="L317" s="19">
        <v>291293.07900000003</v>
      </c>
      <c r="M317" s="19">
        <v>255959.535</v>
      </c>
      <c r="N317" s="17">
        <v>841986.01190000004</v>
      </c>
      <c r="O317" s="18">
        <f>IFERROR(Table1[[#This Row],[30-7 stock lvl]]/Table1[[#This Row],[26-Aug]],0)</f>
        <v>3.2895278228255886</v>
      </c>
      <c r="P317" s="1" t="s">
        <v>823</v>
      </c>
    </row>
    <row r="318" spans="1:16" x14ac:dyDescent="0.25">
      <c r="A318" s="2">
        <v>200204030016</v>
      </c>
      <c r="B318" s="10" t="s">
        <v>537</v>
      </c>
      <c r="C318" s="6" t="s">
        <v>538</v>
      </c>
      <c r="E318" s="21" t="s">
        <v>158</v>
      </c>
      <c r="G318" s="1" t="s">
        <v>7</v>
      </c>
      <c r="H318" s="1">
        <v>0</v>
      </c>
      <c r="I318" s="1" t="s">
        <v>785</v>
      </c>
      <c r="J318" s="24">
        <v>45058</v>
      </c>
      <c r="K318" s="16">
        <v>224303.5001</v>
      </c>
      <c r="L318" s="19">
        <v>309741.10279999994</v>
      </c>
      <c r="M318" s="19">
        <v>280935.05320000002</v>
      </c>
      <c r="N318" s="17">
        <v>921154.28200000001</v>
      </c>
      <c r="O318" s="18">
        <f>IFERROR(Table1[[#This Row],[30-7 stock lvl]]/Table1[[#This Row],[26-Aug]],0)</f>
        <v>3.278886958062234</v>
      </c>
      <c r="P318" s="1" t="s">
        <v>824</v>
      </c>
    </row>
    <row r="319" spans="1:16" x14ac:dyDescent="0.25">
      <c r="A319" s="2">
        <v>100202001005</v>
      </c>
      <c r="B319" s="10" t="s">
        <v>14</v>
      </c>
      <c r="C319" s="6" t="s">
        <v>15</v>
      </c>
      <c r="E319" s="21" t="s">
        <v>6</v>
      </c>
      <c r="G319" s="1" t="s">
        <v>7</v>
      </c>
      <c r="H319" s="1">
        <v>0</v>
      </c>
      <c r="I319" s="1" t="s">
        <v>782</v>
      </c>
      <c r="J319" s="24">
        <v>42370</v>
      </c>
      <c r="K319" s="16">
        <v>352682.47149999987</v>
      </c>
      <c r="L319" s="19">
        <v>389854.99280000001</v>
      </c>
      <c r="M319" s="19">
        <v>405461.34889999998</v>
      </c>
      <c r="N319" s="17">
        <v>1299939.4350000001</v>
      </c>
      <c r="O319" s="18">
        <f>IFERROR(Table1[[#This Row],[30-7 stock lvl]]/Table1[[#This Row],[26-Aug]],0)</f>
        <v>3.2060748540562063</v>
      </c>
      <c r="P319" s="1" t="s">
        <v>824</v>
      </c>
    </row>
    <row r="320" spans="1:16" x14ac:dyDescent="0.25">
      <c r="A320" s="2">
        <v>100302001030</v>
      </c>
      <c r="B320" s="10" t="s">
        <v>106</v>
      </c>
      <c r="C320" s="6" t="s">
        <v>107</v>
      </c>
      <c r="E320" s="21" t="s">
        <v>10</v>
      </c>
      <c r="G320" s="1" t="s">
        <v>7</v>
      </c>
      <c r="H320" s="1">
        <v>0</v>
      </c>
      <c r="I320" s="1" t="s">
        <v>782</v>
      </c>
      <c r="J320" s="24">
        <v>43983</v>
      </c>
      <c r="K320" s="16">
        <v>522777.67560000002</v>
      </c>
      <c r="L320" s="19">
        <v>579433.48000000021</v>
      </c>
      <c r="M320" s="19">
        <v>570981.62309999997</v>
      </c>
      <c r="N320" s="17">
        <v>1829625.517</v>
      </c>
      <c r="O320" s="18">
        <f>IFERROR(Table1[[#This Row],[30-7 stock lvl]]/Table1[[#This Row],[26-Aug]],0)</f>
        <v>3.2043509685417058</v>
      </c>
      <c r="P320" s="1" t="s">
        <v>825</v>
      </c>
    </row>
    <row r="321" spans="1:16" x14ac:dyDescent="0.25">
      <c r="A321" s="2">
        <v>100302001013</v>
      </c>
      <c r="B321" s="10" t="s">
        <v>88</v>
      </c>
      <c r="C321" s="6" t="s">
        <v>89</v>
      </c>
      <c r="E321" s="21" t="s">
        <v>6</v>
      </c>
      <c r="G321" s="1" t="s">
        <v>7</v>
      </c>
      <c r="H321" s="1">
        <v>0</v>
      </c>
      <c r="I321" s="1" t="s">
        <v>782</v>
      </c>
      <c r="J321" s="24">
        <v>42370</v>
      </c>
      <c r="K321" s="16">
        <v>469022.21569999994</v>
      </c>
      <c r="L321" s="19">
        <v>665777.42960000003</v>
      </c>
      <c r="M321" s="19">
        <v>473570.38045</v>
      </c>
      <c r="N321" s="17">
        <v>1514672.6377399999</v>
      </c>
      <c r="O321" s="18">
        <f>IFERROR(Table1[[#This Row],[30-7 stock lvl]]/Table1[[#This Row],[26-Aug]],0)</f>
        <v>3.1984108387452674</v>
      </c>
      <c r="P321" s="1" t="s">
        <v>824</v>
      </c>
    </row>
    <row r="322" spans="1:16" x14ac:dyDescent="0.25">
      <c r="A322" s="2">
        <v>200201010902</v>
      </c>
      <c r="B322" s="10" t="s">
        <v>219</v>
      </c>
      <c r="C322" s="6" t="s">
        <v>220</v>
      </c>
      <c r="E322" s="21" t="s">
        <v>150</v>
      </c>
      <c r="G322" s="1" t="s">
        <v>129</v>
      </c>
      <c r="H322" s="1">
        <v>0</v>
      </c>
      <c r="I322" s="1" t="s">
        <v>782</v>
      </c>
      <c r="J322" s="24">
        <v>44850</v>
      </c>
      <c r="K322" s="16">
        <v>604585.21249999991</v>
      </c>
      <c r="L322" s="19">
        <v>739517.42500000005</v>
      </c>
      <c r="M322" s="19">
        <v>659553.44999999995</v>
      </c>
      <c r="N322" s="17">
        <v>2108192.7149999999</v>
      </c>
      <c r="O322" s="18">
        <f>IFERROR(Table1[[#This Row],[30-7 stock lvl]]/Table1[[#This Row],[26-Aug]],0)</f>
        <v>3.1963940375112889</v>
      </c>
      <c r="P322" s="1" t="s">
        <v>825</v>
      </c>
    </row>
    <row r="323" spans="1:16" x14ac:dyDescent="0.25">
      <c r="A323" s="2">
        <v>200201010903</v>
      </c>
      <c r="B323" s="10" t="s">
        <v>221</v>
      </c>
      <c r="C323" s="6" t="s">
        <v>222</v>
      </c>
      <c r="E323" s="21" t="s">
        <v>150</v>
      </c>
      <c r="G323" s="1" t="s">
        <v>129</v>
      </c>
      <c r="H323" s="1">
        <v>0</v>
      </c>
      <c r="I323" s="1" t="s">
        <v>782</v>
      </c>
      <c r="J323" s="24">
        <v>44881</v>
      </c>
      <c r="K323" s="16">
        <v>225296.59</v>
      </c>
      <c r="L323" s="19">
        <v>203248.44</v>
      </c>
      <c r="M323" s="19">
        <v>194079.85</v>
      </c>
      <c r="N323" s="17">
        <v>619457.94499999995</v>
      </c>
      <c r="O323" s="18">
        <f>IFERROR(Table1[[#This Row],[30-7 stock lvl]]/Table1[[#This Row],[26-Aug]],0)</f>
        <v>3.1917684654022556</v>
      </c>
      <c r="P323" s="1" t="s">
        <v>823</v>
      </c>
    </row>
    <row r="324" spans="1:16" x14ac:dyDescent="0.25">
      <c r="A324" s="2">
        <v>200201010932</v>
      </c>
      <c r="B324" s="10" t="s">
        <v>268</v>
      </c>
      <c r="C324" s="6" t="s">
        <v>269</v>
      </c>
      <c r="E324" s="21" t="s">
        <v>10</v>
      </c>
      <c r="G324" s="1" t="s">
        <v>7</v>
      </c>
      <c r="H324" s="1">
        <v>0</v>
      </c>
      <c r="I324" s="1" t="s">
        <v>782</v>
      </c>
      <c r="J324" s="24">
        <v>45331</v>
      </c>
      <c r="K324" s="16">
        <v>368880.55660000001</v>
      </c>
      <c r="L324" s="19">
        <v>424873.1700000001</v>
      </c>
      <c r="M324" s="19">
        <v>374435.77059999999</v>
      </c>
      <c r="N324" s="17">
        <v>1191276.764</v>
      </c>
      <c r="O324" s="18">
        <f>IFERROR(Table1[[#This Row],[30-7 stock lvl]]/Table1[[#This Row],[26-Aug]],0)</f>
        <v>3.1815249971739745</v>
      </c>
      <c r="P324" s="1" t="s">
        <v>823</v>
      </c>
    </row>
    <row r="325" spans="1:16" x14ac:dyDescent="0.25">
      <c r="A325" s="2">
        <v>200201010800</v>
      </c>
      <c r="B325" s="10" t="s">
        <v>213</v>
      </c>
      <c r="C325" s="6" t="s">
        <v>214</v>
      </c>
      <c r="E325" s="21" t="s">
        <v>6</v>
      </c>
      <c r="G325" s="1" t="s">
        <v>7</v>
      </c>
      <c r="H325" s="1">
        <v>0</v>
      </c>
      <c r="I325" s="1" t="s">
        <v>782</v>
      </c>
      <c r="J325" s="24">
        <v>44581</v>
      </c>
      <c r="K325" s="16">
        <v>257512.53239999997</v>
      </c>
      <c r="L325" s="19">
        <v>296384.07700000005</v>
      </c>
      <c r="M325" s="19">
        <v>330374.90220000001</v>
      </c>
      <c r="N325" s="17">
        <v>1023810.056</v>
      </c>
      <c r="O325" s="18">
        <f>IFERROR(Table1[[#This Row],[30-7 stock lvl]]/Table1[[#This Row],[26-Aug]],0)</f>
        <v>3.0989341175202623</v>
      </c>
      <c r="P325" s="1" t="s">
        <v>823</v>
      </c>
    </row>
    <row r="326" spans="1:16" x14ac:dyDescent="0.25">
      <c r="A326" s="2">
        <v>200201010922</v>
      </c>
      <c r="B326" s="10" t="s">
        <v>256</v>
      </c>
      <c r="C326" s="6" t="s">
        <v>257</v>
      </c>
      <c r="E326" s="21" t="s">
        <v>6</v>
      </c>
      <c r="G326" s="1" t="s">
        <v>7</v>
      </c>
      <c r="H326" s="1">
        <v>0</v>
      </c>
      <c r="I326" s="1" t="s">
        <v>782</v>
      </c>
      <c r="J326" s="24">
        <v>45221</v>
      </c>
      <c r="K326" s="16">
        <v>509521.6278999999</v>
      </c>
      <c r="L326" s="19">
        <v>553429.2899999998</v>
      </c>
      <c r="M326" s="19">
        <v>542610.34790000005</v>
      </c>
      <c r="N326" s="17">
        <v>1673408.6795000001</v>
      </c>
      <c r="O326" s="18">
        <f>IFERROR(Table1[[#This Row],[30-7 stock lvl]]/Table1[[#This Row],[26-Aug]],0)</f>
        <v>3.0839969896932367</v>
      </c>
      <c r="P326" s="1" t="s">
        <v>823</v>
      </c>
    </row>
    <row r="327" spans="1:16" x14ac:dyDescent="0.25">
      <c r="A327" s="2">
        <v>100202001032</v>
      </c>
      <c r="B327" s="10" t="s">
        <v>62</v>
      </c>
      <c r="C327" s="6" t="s">
        <v>63</v>
      </c>
      <c r="E327" s="21" t="s">
        <v>10</v>
      </c>
      <c r="G327" s="1" t="s">
        <v>7</v>
      </c>
      <c r="H327" s="1">
        <v>0</v>
      </c>
      <c r="I327" s="1" t="s">
        <v>782</v>
      </c>
      <c r="J327" s="24">
        <v>43831</v>
      </c>
      <c r="K327" s="16">
        <v>436894.91850000003</v>
      </c>
      <c r="L327" s="19">
        <v>479091.35499999998</v>
      </c>
      <c r="M327" s="19">
        <v>475564.27299999999</v>
      </c>
      <c r="N327" s="17">
        <v>1451824.3905</v>
      </c>
      <c r="O327" s="18">
        <f>IFERROR(Table1[[#This Row],[30-7 stock lvl]]/Table1[[#This Row],[26-Aug]],0)</f>
        <v>3.0528457937798033</v>
      </c>
      <c r="P327" s="1" t="s">
        <v>824</v>
      </c>
    </row>
    <row r="328" spans="1:16" x14ac:dyDescent="0.25">
      <c r="A328" s="2">
        <v>200204030032</v>
      </c>
      <c r="B328" s="10" t="s">
        <v>565</v>
      </c>
      <c r="C328" s="6" t="s">
        <v>566</v>
      </c>
      <c r="E328" s="21" t="s">
        <v>491</v>
      </c>
      <c r="G328" s="1" t="s">
        <v>7</v>
      </c>
      <c r="H328" s="1">
        <v>0</v>
      </c>
      <c r="I328" s="1" t="s">
        <v>785</v>
      </c>
      <c r="J328" s="24">
        <v>45596</v>
      </c>
      <c r="K328" s="16">
        <v>182037.87579999998</v>
      </c>
      <c r="L328" s="19">
        <v>355916.71150000003</v>
      </c>
      <c r="M328" s="19">
        <v>317052.7243</v>
      </c>
      <c r="N328" s="17">
        <v>967532.21649999998</v>
      </c>
      <c r="O328" s="18">
        <f>IFERROR(Table1[[#This Row],[30-7 stock lvl]]/Table1[[#This Row],[26-Aug]],0)</f>
        <v>3.0516445447240712</v>
      </c>
      <c r="P328" s="1" t="s">
        <v>824</v>
      </c>
    </row>
    <row r="329" spans="1:16" x14ac:dyDescent="0.25">
      <c r="A329" s="2">
        <v>200204010002</v>
      </c>
      <c r="B329" s="10" t="s">
        <v>724</v>
      </c>
      <c r="C329" s="6" t="s">
        <v>490</v>
      </c>
      <c r="E329" s="21" t="s">
        <v>491</v>
      </c>
      <c r="G329" s="1" t="s">
        <v>7</v>
      </c>
      <c r="H329" s="1">
        <v>0</v>
      </c>
      <c r="I329" s="1" t="s">
        <v>785</v>
      </c>
      <c r="J329" s="24">
        <v>45064</v>
      </c>
      <c r="K329" s="16">
        <v>220782.08559999999</v>
      </c>
      <c r="L329" s="19">
        <v>286121.96359999996</v>
      </c>
      <c r="M329" s="19">
        <v>316118.2083</v>
      </c>
      <c r="N329" s="17">
        <v>962256.38749999995</v>
      </c>
      <c r="O329" s="18">
        <f>IFERROR(Table1[[#This Row],[30-7 stock lvl]]/Table1[[#This Row],[26-Aug]],0)</f>
        <v>3.0439764690390976</v>
      </c>
      <c r="P329" s="1" t="s">
        <v>825</v>
      </c>
    </row>
    <row r="330" spans="1:16" x14ac:dyDescent="0.25">
      <c r="A330" s="2">
        <v>100802001003</v>
      </c>
      <c r="B330" s="10" t="s">
        <v>139</v>
      </c>
      <c r="C330" s="6" t="s">
        <v>140</v>
      </c>
      <c r="E330" s="21" t="s">
        <v>6</v>
      </c>
      <c r="G330" s="1" t="s">
        <v>7</v>
      </c>
      <c r="H330" s="1">
        <v>0</v>
      </c>
      <c r="I330" s="1" t="s">
        <v>782</v>
      </c>
      <c r="J330" s="24">
        <v>43466</v>
      </c>
      <c r="K330" s="16">
        <v>457973.80190000002</v>
      </c>
      <c r="L330" s="19">
        <v>398167.99820000003</v>
      </c>
      <c r="M330" s="19">
        <v>398638.14769999997</v>
      </c>
      <c r="N330" s="17">
        <v>1212189.9805000001</v>
      </c>
      <c r="O330" s="18">
        <f>IFERROR(Table1[[#This Row],[30-7 stock lvl]]/Table1[[#This Row],[26-Aug]],0)</f>
        <v>3.0408278472441843</v>
      </c>
      <c r="P330" s="1" t="s">
        <v>823</v>
      </c>
    </row>
    <row r="331" spans="1:16" x14ac:dyDescent="0.25">
      <c r="A331" s="2">
        <v>200201010700</v>
      </c>
      <c r="B331" s="10" t="s">
        <v>211</v>
      </c>
      <c r="C331" s="6" t="s">
        <v>212</v>
      </c>
      <c r="E331" s="21" t="s">
        <v>128</v>
      </c>
      <c r="G331" s="1" t="s">
        <v>129</v>
      </c>
      <c r="H331" s="1">
        <v>0</v>
      </c>
      <c r="I331" s="1" t="s">
        <v>782</v>
      </c>
      <c r="J331" s="24">
        <v>44565</v>
      </c>
      <c r="K331" s="16">
        <v>283249.55199999997</v>
      </c>
      <c r="L331" s="19">
        <v>258472.23</v>
      </c>
      <c r="M331" s="19">
        <v>324249.315</v>
      </c>
      <c r="N331" s="17">
        <v>976812.98100000003</v>
      </c>
      <c r="O331" s="18">
        <f>IFERROR(Table1[[#This Row],[30-7 stock lvl]]/Table1[[#This Row],[26-Aug]],0)</f>
        <v>3.0125367604862943</v>
      </c>
      <c r="P331" s="1" t="s">
        <v>823</v>
      </c>
    </row>
    <row r="332" spans="1:16" x14ac:dyDescent="0.25">
      <c r="A332" s="2">
        <v>200201010937</v>
      </c>
      <c r="B332" s="10" t="s">
        <v>278</v>
      </c>
      <c r="C332" s="6" t="s">
        <v>279</v>
      </c>
      <c r="E332" s="21" t="s">
        <v>6</v>
      </c>
      <c r="G332" s="1" t="s">
        <v>7</v>
      </c>
      <c r="H332" s="1">
        <v>0</v>
      </c>
      <c r="I332" s="1" t="s">
        <v>782</v>
      </c>
      <c r="J332" s="24">
        <v>45377</v>
      </c>
      <c r="K332" s="16">
        <v>536039.43689999986</v>
      </c>
      <c r="L332" s="19">
        <v>526070.75499999989</v>
      </c>
      <c r="M332" s="19">
        <v>557809.06290000002</v>
      </c>
      <c r="N332" s="17">
        <v>1678032.4055000001</v>
      </c>
      <c r="O332" s="18">
        <f>IFERROR(Table1[[#This Row],[30-7 stock lvl]]/Table1[[#This Row],[26-Aug]],0)</f>
        <v>3.0082559017167236</v>
      </c>
      <c r="P332" s="1" t="s">
        <v>825</v>
      </c>
    </row>
    <row r="333" spans="1:16" x14ac:dyDescent="0.25">
      <c r="A333" s="2">
        <v>100202001010</v>
      </c>
      <c r="B333" s="10" t="s">
        <v>24</v>
      </c>
      <c r="C333" s="6" t="s">
        <v>25</v>
      </c>
      <c r="D333" s="6" t="s">
        <v>827</v>
      </c>
      <c r="E333" s="21" t="s">
        <v>6</v>
      </c>
      <c r="G333" s="1" t="s">
        <v>7</v>
      </c>
      <c r="H333" s="1">
        <v>0</v>
      </c>
      <c r="I333" s="1" t="s">
        <v>782</v>
      </c>
      <c r="J333" s="24">
        <v>42370</v>
      </c>
      <c r="K333" s="16">
        <v>516396.17599999998</v>
      </c>
      <c r="L333" s="19">
        <v>584525.87999999989</v>
      </c>
      <c r="M333" s="19">
        <v>550487.19510000001</v>
      </c>
      <c r="N333" s="17">
        <v>1613909.4306999999</v>
      </c>
      <c r="O333" s="18">
        <f>IFERROR(Table1[[#This Row],[30-7 stock lvl]]/Table1[[#This Row],[26-Aug]],0)</f>
        <v>2.931783781831331</v>
      </c>
      <c r="P333" s="1" t="s">
        <v>824</v>
      </c>
    </row>
    <row r="334" spans="1:16" x14ac:dyDescent="0.25">
      <c r="A334" s="2">
        <v>200204010004</v>
      </c>
      <c r="B334" s="10" t="s">
        <v>492</v>
      </c>
      <c r="C334" s="6" t="s">
        <v>493</v>
      </c>
      <c r="E334" s="21" t="s">
        <v>491</v>
      </c>
      <c r="G334" s="1" t="s">
        <v>7</v>
      </c>
      <c r="H334" s="1">
        <v>0</v>
      </c>
      <c r="I334" s="1" t="s">
        <v>785</v>
      </c>
      <c r="J334" s="24">
        <v>45578</v>
      </c>
      <c r="K334" s="16">
        <v>133648.76319999999</v>
      </c>
      <c r="L334" s="19">
        <v>177103.91500000001</v>
      </c>
      <c r="M334" s="19">
        <v>192911.91500000001</v>
      </c>
      <c r="N334" s="17">
        <v>565476.88950000005</v>
      </c>
      <c r="O334" s="18">
        <f>IFERROR(Table1[[#This Row],[30-7 stock lvl]]/Table1[[#This Row],[26-Aug]],0)</f>
        <v>2.9312698984922729</v>
      </c>
      <c r="P334" s="1" t="s">
        <v>823</v>
      </c>
    </row>
    <row r="335" spans="1:16" x14ac:dyDescent="0.25">
      <c r="A335" s="2">
        <v>200201010904</v>
      </c>
      <c r="B335" s="10" t="s">
        <v>223</v>
      </c>
      <c r="C335" s="6" t="s">
        <v>224</v>
      </c>
      <c r="E335" s="21" t="s">
        <v>210</v>
      </c>
      <c r="G335" s="1" t="s">
        <v>129</v>
      </c>
      <c r="H335" s="1">
        <v>0</v>
      </c>
      <c r="I335" s="1" t="s">
        <v>782</v>
      </c>
      <c r="J335" s="24">
        <v>44895</v>
      </c>
      <c r="K335" s="16">
        <v>322140.31</v>
      </c>
      <c r="L335" s="19">
        <v>360910.55000000005</v>
      </c>
      <c r="M335" s="19">
        <v>344484.37300000002</v>
      </c>
      <c r="N335" s="17">
        <v>1005342.0035</v>
      </c>
      <c r="O335" s="18">
        <f>IFERROR(Table1[[#This Row],[30-7 stock lvl]]/Table1[[#This Row],[26-Aug]],0)</f>
        <v>2.918396543636538</v>
      </c>
      <c r="P335" s="1" t="s">
        <v>823</v>
      </c>
    </row>
    <row r="336" spans="1:16" x14ac:dyDescent="0.25">
      <c r="A336" s="2">
        <v>200201010961</v>
      </c>
      <c r="B336" s="10" t="s">
        <v>325</v>
      </c>
      <c r="C336" s="6" t="s">
        <v>326</v>
      </c>
      <c r="E336" s="21" t="s">
        <v>186</v>
      </c>
      <c r="G336" s="1" t="s">
        <v>129</v>
      </c>
      <c r="H336" s="1">
        <v>0</v>
      </c>
      <c r="I336" s="1" t="s">
        <v>782</v>
      </c>
      <c r="J336" s="24">
        <v>45733</v>
      </c>
      <c r="K336" s="16">
        <v>246262.15249999997</v>
      </c>
      <c r="L336" s="19">
        <v>296212.07000000007</v>
      </c>
      <c r="M336" s="19">
        <v>271301.06</v>
      </c>
      <c r="N336" s="17">
        <v>788454.02899999998</v>
      </c>
      <c r="O336" s="18">
        <f>IFERROR(Table1[[#This Row],[30-7 stock lvl]]/Table1[[#This Row],[26-Aug]],0)</f>
        <v>2.9061959028099631</v>
      </c>
      <c r="P336" s="1" t="s">
        <v>823</v>
      </c>
    </row>
    <row r="337" spans="1:16" x14ac:dyDescent="0.25">
      <c r="A337" s="2">
        <v>102002001001</v>
      </c>
      <c r="B337" s="10" t="s">
        <v>184</v>
      </c>
      <c r="C337" s="6" t="s">
        <v>185</v>
      </c>
      <c r="E337" s="21" t="s">
        <v>186</v>
      </c>
      <c r="G337" s="1" t="s">
        <v>129</v>
      </c>
      <c r="H337" s="1" t="s">
        <v>758</v>
      </c>
      <c r="I337" s="1" t="s">
        <v>782</v>
      </c>
      <c r="J337" s="24">
        <v>43983</v>
      </c>
      <c r="K337" s="16">
        <v>419524.75000000006</v>
      </c>
      <c r="L337" s="19">
        <v>334931.02999999997</v>
      </c>
      <c r="M337" s="19">
        <v>441381.19750000001</v>
      </c>
      <c r="N337" s="17">
        <v>1264056.9175</v>
      </c>
      <c r="O337" s="18">
        <f>IFERROR(Table1[[#This Row],[30-7 stock lvl]]/Table1[[#This Row],[26-Aug]],0)</f>
        <v>2.8638667090027097</v>
      </c>
      <c r="P337" s="1" t="s">
        <v>823</v>
      </c>
    </row>
    <row r="338" spans="1:16" x14ac:dyDescent="0.25">
      <c r="A338" s="2">
        <v>200201010933</v>
      </c>
      <c r="B338" s="10" t="s">
        <v>270</v>
      </c>
      <c r="C338" s="6" t="s">
        <v>271</v>
      </c>
      <c r="E338" s="21" t="s">
        <v>186</v>
      </c>
      <c r="G338" s="1" t="s">
        <v>129</v>
      </c>
      <c r="H338" s="1">
        <v>0</v>
      </c>
      <c r="I338" s="1" t="s">
        <v>782</v>
      </c>
      <c r="J338" s="24">
        <v>45336</v>
      </c>
      <c r="K338" s="16">
        <v>223247.72999999998</v>
      </c>
      <c r="L338" s="19">
        <v>320344.29700000002</v>
      </c>
      <c r="M338" s="19">
        <v>353812.58500000002</v>
      </c>
      <c r="N338" s="17">
        <v>1007486.44</v>
      </c>
      <c r="O338" s="18">
        <f>IFERROR(Table1[[#This Row],[30-7 stock lvl]]/Table1[[#This Row],[26-Aug]],0)</f>
        <v>2.8475144263169718</v>
      </c>
      <c r="P338" s="1" t="s">
        <v>823</v>
      </c>
    </row>
    <row r="339" spans="1:16" x14ac:dyDescent="0.25">
      <c r="A339" s="2">
        <v>100202001012</v>
      </c>
      <c r="B339" s="10" t="s">
        <v>30</v>
      </c>
      <c r="C339" s="6" t="s">
        <v>31</v>
      </c>
      <c r="E339" s="21" t="s">
        <v>13</v>
      </c>
      <c r="G339" s="1" t="s">
        <v>7</v>
      </c>
      <c r="H339" s="1">
        <v>0</v>
      </c>
      <c r="I339" s="1" t="s">
        <v>782</v>
      </c>
      <c r="J339" s="24">
        <v>42370</v>
      </c>
      <c r="K339" s="16">
        <v>521518.65750000003</v>
      </c>
      <c r="L339" s="19">
        <v>592728.52610000002</v>
      </c>
      <c r="M339" s="19">
        <v>591121.65029999998</v>
      </c>
      <c r="N339" s="17">
        <v>1673335.067</v>
      </c>
      <c r="O339" s="18">
        <f>IFERROR(Table1[[#This Row],[30-7 stock lvl]]/Table1[[#This Row],[26-Aug]],0)</f>
        <v>2.8307795293079967</v>
      </c>
      <c r="P339" s="1" t="s">
        <v>823</v>
      </c>
    </row>
    <row r="340" spans="1:16" x14ac:dyDescent="0.25">
      <c r="A340" s="2">
        <v>100202001008</v>
      </c>
      <c r="B340" s="10" t="s">
        <v>20</v>
      </c>
      <c r="C340" s="6" t="s">
        <v>21</v>
      </c>
      <c r="D340" s="6" t="s">
        <v>827</v>
      </c>
      <c r="E340" s="21" t="s">
        <v>13</v>
      </c>
      <c r="G340" s="1" t="s">
        <v>7</v>
      </c>
      <c r="H340" s="1">
        <v>0</v>
      </c>
      <c r="I340" s="1" t="s">
        <v>782</v>
      </c>
      <c r="J340" s="24">
        <v>43101</v>
      </c>
      <c r="K340" s="16">
        <v>281484.14010000008</v>
      </c>
      <c r="L340" s="19">
        <v>321279.5799999999</v>
      </c>
      <c r="M340" s="19">
        <v>347627.62479999999</v>
      </c>
      <c r="N340" s="17">
        <v>972216.10900000005</v>
      </c>
      <c r="O340" s="18">
        <f>IFERROR(Table1[[#This Row],[30-7 stock lvl]]/Table1[[#This Row],[26-Aug]],0)</f>
        <v>2.7967170605596823</v>
      </c>
      <c r="P340" s="1" t="s">
        <v>824</v>
      </c>
    </row>
    <row r="341" spans="1:16" x14ac:dyDescent="0.25">
      <c r="A341" s="2">
        <v>100302001027</v>
      </c>
      <c r="B341" s="10" t="s">
        <v>104</v>
      </c>
      <c r="C341" s="6" t="s">
        <v>105</v>
      </c>
      <c r="E341" s="21" t="s">
        <v>13</v>
      </c>
      <c r="G341" s="1" t="s">
        <v>7</v>
      </c>
      <c r="H341" s="1">
        <v>0</v>
      </c>
      <c r="I341" s="1" t="s">
        <v>782</v>
      </c>
      <c r="J341" s="24">
        <v>43831</v>
      </c>
      <c r="K341" s="16">
        <v>509126.05040000007</v>
      </c>
      <c r="L341" s="19">
        <v>614358.66069999989</v>
      </c>
      <c r="M341" s="19">
        <v>643168.47389999998</v>
      </c>
      <c r="N341" s="17">
        <v>1795005.3529999999</v>
      </c>
      <c r="O341" s="18">
        <f>IFERROR(Table1[[#This Row],[30-7 stock lvl]]/Table1[[#This Row],[26-Aug]],0)</f>
        <v>2.7908789467176027</v>
      </c>
      <c r="P341" s="1" t="s">
        <v>825</v>
      </c>
    </row>
    <row r="342" spans="1:16" x14ac:dyDescent="0.25">
      <c r="A342" s="2">
        <v>100302001024</v>
      </c>
      <c r="B342" s="10" t="s">
        <v>100</v>
      </c>
      <c r="C342" s="6" t="s">
        <v>101</v>
      </c>
      <c r="D342" s="6" t="s">
        <v>827</v>
      </c>
      <c r="E342" s="21" t="s">
        <v>28</v>
      </c>
      <c r="G342" s="1" t="s">
        <v>7</v>
      </c>
      <c r="H342" s="1">
        <v>0</v>
      </c>
      <c r="I342" s="1" t="s">
        <v>782</v>
      </c>
      <c r="J342" s="24">
        <v>43466</v>
      </c>
      <c r="K342" s="16">
        <v>122576.40890000001</v>
      </c>
      <c r="L342" s="19">
        <v>123790.23500000003</v>
      </c>
      <c r="M342" s="19">
        <v>156860.41819999999</v>
      </c>
      <c r="N342" s="17">
        <v>434953.55099999998</v>
      </c>
      <c r="O342" s="18">
        <f>IFERROR(Table1[[#This Row],[30-7 stock lvl]]/Table1[[#This Row],[26-Aug]],0)</f>
        <v>2.7728700203095595</v>
      </c>
      <c r="P342" s="1" t="s">
        <v>823</v>
      </c>
    </row>
    <row r="343" spans="1:16" x14ac:dyDescent="0.25">
      <c r="A343" s="2">
        <v>200201010900</v>
      </c>
      <c r="B343" s="10" t="s">
        <v>215</v>
      </c>
      <c r="C343" s="6" t="s">
        <v>216</v>
      </c>
      <c r="D343" s="6" t="s">
        <v>827</v>
      </c>
      <c r="E343" s="21" t="s">
        <v>13</v>
      </c>
      <c r="G343" s="1" t="s">
        <v>7</v>
      </c>
      <c r="H343" s="1">
        <v>0</v>
      </c>
      <c r="I343" s="1" t="s">
        <v>782</v>
      </c>
      <c r="J343" s="24">
        <v>44648</v>
      </c>
      <c r="K343" s="16">
        <v>496875.15989999997</v>
      </c>
      <c r="L343" s="19">
        <v>634065.12710000004</v>
      </c>
      <c r="M343" s="19">
        <v>611280.89980000001</v>
      </c>
      <c r="N343" s="17">
        <v>1686907.2625</v>
      </c>
      <c r="O343" s="18">
        <f>IFERROR(Table1[[#This Row],[30-7 stock lvl]]/Table1[[#This Row],[26-Aug]],0)</f>
        <v>2.759626978451192</v>
      </c>
      <c r="P343" s="1" t="s">
        <v>825</v>
      </c>
    </row>
    <row r="344" spans="1:16" x14ac:dyDescent="0.25">
      <c r="A344" s="2">
        <v>100202001028</v>
      </c>
      <c r="B344" s="10" t="s">
        <v>54</v>
      </c>
      <c r="C344" s="6" t="s">
        <v>55</v>
      </c>
      <c r="E344" s="21" t="s">
        <v>6</v>
      </c>
      <c r="G344" s="1" t="s">
        <v>7</v>
      </c>
      <c r="H344" s="1">
        <v>0</v>
      </c>
      <c r="I344" s="1" t="s">
        <v>782</v>
      </c>
      <c r="J344" s="24">
        <v>42370</v>
      </c>
      <c r="K344" s="16">
        <v>1053330.7531999999</v>
      </c>
      <c r="L344" s="19">
        <v>1464294.9240000001</v>
      </c>
      <c r="M344" s="19">
        <v>1236942.9839999999</v>
      </c>
      <c r="N344" s="17">
        <v>3409025.23</v>
      </c>
      <c r="O344" s="18">
        <f>IFERROR(Table1[[#This Row],[30-7 stock lvl]]/Table1[[#This Row],[26-Aug]],0)</f>
        <v>2.7560083804153743</v>
      </c>
      <c r="P344" s="1" t="s">
        <v>825</v>
      </c>
    </row>
    <row r="345" spans="1:16" x14ac:dyDescent="0.25">
      <c r="A345" s="2">
        <v>200201010949</v>
      </c>
      <c r="B345" s="10" t="s">
        <v>302</v>
      </c>
      <c r="C345" s="6" t="s">
        <v>303</v>
      </c>
      <c r="E345" s="21" t="s">
        <v>128</v>
      </c>
      <c r="G345" s="1" t="s">
        <v>129</v>
      </c>
      <c r="H345" s="1">
        <v>0</v>
      </c>
      <c r="I345" s="1" t="s">
        <v>782</v>
      </c>
      <c r="J345" s="24">
        <v>45619</v>
      </c>
      <c r="K345" s="16">
        <v>528553.17499999993</v>
      </c>
      <c r="L345" s="19">
        <v>542833.505</v>
      </c>
      <c r="M345" s="19">
        <v>603204.09400000004</v>
      </c>
      <c r="N345" s="17">
        <v>1644473.2350000001</v>
      </c>
      <c r="O345" s="18">
        <f>IFERROR(Table1[[#This Row],[30-7 stock lvl]]/Table1[[#This Row],[26-Aug]],0)</f>
        <v>2.7262302284705648</v>
      </c>
      <c r="P345" s="1" t="s">
        <v>823</v>
      </c>
    </row>
    <row r="346" spans="1:16" x14ac:dyDescent="0.25">
      <c r="A346" s="2">
        <v>100302001001</v>
      </c>
      <c r="B346" s="10" t="s">
        <v>74</v>
      </c>
      <c r="C346" s="6" t="s">
        <v>75</v>
      </c>
      <c r="D346" s="6" t="s">
        <v>827</v>
      </c>
      <c r="E346" s="21" t="s">
        <v>28</v>
      </c>
      <c r="G346" s="1" t="s">
        <v>7</v>
      </c>
      <c r="H346" s="1">
        <v>0</v>
      </c>
      <c r="I346" s="1" t="s">
        <v>782</v>
      </c>
      <c r="J346" s="24">
        <v>42370</v>
      </c>
      <c r="K346" s="16">
        <v>586162.02850000013</v>
      </c>
      <c r="L346" s="19">
        <v>696532.39199999999</v>
      </c>
      <c r="M346" s="19">
        <v>596027.09290000005</v>
      </c>
      <c r="N346" s="17">
        <v>1585213.8489999999</v>
      </c>
      <c r="O346" s="18">
        <f>IFERROR(Table1[[#This Row],[30-7 stock lvl]]/Table1[[#This Row],[26-Aug]],0)</f>
        <v>2.6596338788679246</v>
      </c>
      <c r="P346" s="1" t="s">
        <v>823</v>
      </c>
    </row>
    <row r="347" spans="1:16" x14ac:dyDescent="0.25">
      <c r="A347" s="2">
        <v>100302001002</v>
      </c>
      <c r="B347" s="10" t="s">
        <v>76</v>
      </c>
      <c r="C347" s="6" t="s">
        <v>77</v>
      </c>
      <c r="E347" s="21" t="s">
        <v>6</v>
      </c>
      <c r="G347" s="1" t="s">
        <v>7</v>
      </c>
      <c r="H347" s="1">
        <v>0</v>
      </c>
      <c r="I347" s="1" t="s">
        <v>782</v>
      </c>
      <c r="J347" s="24">
        <v>42370</v>
      </c>
      <c r="K347" s="16">
        <v>832646.38119999995</v>
      </c>
      <c r="L347" s="19">
        <v>903494.30699999991</v>
      </c>
      <c r="M347" s="19">
        <v>841211.16079999995</v>
      </c>
      <c r="N347" s="17">
        <v>2225824.0214999998</v>
      </c>
      <c r="O347" s="18">
        <f>IFERROR(Table1[[#This Row],[30-7 stock lvl]]/Table1[[#This Row],[26-Aug]],0)</f>
        <v>2.6459753807631601</v>
      </c>
      <c r="P347" s="1" t="s">
        <v>825</v>
      </c>
    </row>
    <row r="348" spans="1:16" x14ac:dyDescent="0.25">
      <c r="A348" s="2">
        <v>100202001004</v>
      </c>
      <c r="B348" s="10" t="s">
        <v>11</v>
      </c>
      <c r="C348" s="6" t="s">
        <v>12</v>
      </c>
      <c r="E348" s="21" t="s">
        <v>13</v>
      </c>
      <c r="G348" s="1" t="s">
        <v>7</v>
      </c>
      <c r="H348" s="1">
        <v>0</v>
      </c>
      <c r="I348" s="1" t="s">
        <v>782</v>
      </c>
      <c r="J348" s="24">
        <v>42370</v>
      </c>
      <c r="K348" s="16">
        <v>762645.99529999995</v>
      </c>
      <c r="L348" s="19">
        <v>860983.29720000003</v>
      </c>
      <c r="M348" s="19">
        <v>811839.59609999997</v>
      </c>
      <c r="N348" s="17">
        <v>2144560.1554999999</v>
      </c>
      <c r="O348" s="18">
        <f>IFERROR(Table1[[#This Row],[30-7 stock lvl]]/Table1[[#This Row],[26-Aug]],0)</f>
        <v>2.6416057627667615</v>
      </c>
      <c r="P348" s="1" t="s">
        <v>825</v>
      </c>
    </row>
    <row r="349" spans="1:16" x14ac:dyDescent="0.25">
      <c r="A349" s="2">
        <v>200201010110</v>
      </c>
      <c r="B349" s="10" t="s">
        <v>203</v>
      </c>
      <c r="C349" s="6" t="s">
        <v>204</v>
      </c>
      <c r="E349" s="21" t="s">
        <v>10</v>
      </c>
      <c r="G349" s="1" t="s">
        <v>7</v>
      </c>
      <c r="H349" s="1">
        <v>0</v>
      </c>
      <c r="I349" s="1" t="s">
        <v>782</v>
      </c>
      <c r="J349" s="24">
        <v>44718</v>
      </c>
      <c r="K349" s="16">
        <v>571304.21300000011</v>
      </c>
      <c r="L349" s="19">
        <v>658430.26749999996</v>
      </c>
      <c r="M349" s="19">
        <v>595776.35140000004</v>
      </c>
      <c r="N349" s="17">
        <v>1566440.925</v>
      </c>
      <c r="O349" s="18">
        <f>IFERROR(Table1[[#This Row],[30-7 stock lvl]]/Table1[[#This Row],[26-Aug]],0)</f>
        <v>2.6292432073194236</v>
      </c>
      <c r="P349" s="1" t="s">
        <v>824</v>
      </c>
    </row>
    <row r="350" spans="1:16" x14ac:dyDescent="0.25">
      <c r="A350" s="2">
        <v>100202001003</v>
      </c>
      <c r="B350" s="10" t="s">
        <v>8</v>
      </c>
      <c r="C350" s="6" t="s">
        <v>9</v>
      </c>
      <c r="E350" s="21" t="s">
        <v>10</v>
      </c>
      <c r="G350" s="1" t="s">
        <v>7</v>
      </c>
      <c r="H350" s="1">
        <v>0</v>
      </c>
      <c r="I350" s="1" t="s">
        <v>782</v>
      </c>
      <c r="J350" s="24">
        <v>42370</v>
      </c>
      <c r="K350" s="16">
        <v>671704.52209999983</v>
      </c>
      <c r="L350" s="19">
        <v>712461.5</v>
      </c>
      <c r="M350" s="19">
        <v>700754.16189999995</v>
      </c>
      <c r="N350" s="17">
        <v>1822276.1414999999</v>
      </c>
      <c r="O350" s="18">
        <f>IFERROR(Table1[[#This Row],[30-7 stock lvl]]/Table1[[#This Row],[26-Aug]],0)</f>
        <v>2.6004499731534167</v>
      </c>
      <c r="P350" s="1" t="s">
        <v>825</v>
      </c>
    </row>
    <row r="351" spans="1:16" x14ac:dyDescent="0.25">
      <c r="A351" s="2">
        <v>200201010910</v>
      </c>
      <c r="B351" s="10" t="s">
        <v>233</v>
      </c>
      <c r="C351" s="6" t="s">
        <v>234</v>
      </c>
      <c r="E351" s="21" t="s">
        <v>150</v>
      </c>
      <c r="G351" s="1" t="s">
        <v>129</v>
      </c>
      <c r="H351" s="1" t="s">
        <v>759</v>
      </c>
      <c r="I351" s="1" t="s">
        <v>782</v>
      </c>
      <c r="J351" s="24">
        <v>44965</v>
      </c>
      <c r="K351" s="16">
        <v>337736.02500000008</v>
      </c>
      <c r="L351" s="19">
        <v>349065.82700000005</v>
      </c>
      <c r="M351" s="19">
        <v>395426.58149999997</v>
      </c>
      <c r="N351" s="17">
        <v>1011018.0045</v>
      </c>
      <c r="O351" s="18">
        <f>IFERROR(Table1[[#This Row],[30-7 stock lvl]]/Table1[[#This Row],[26-Aug]],0)</f>
        <v>2.5567780513511082</v>
      </c>
      <c r="P351" s="1" t="s">
        <v>823</v>
      </c>
    </row>
    <row r="352" spans="1:16" x14ac:dyDescent="0.25">
      <c r="A352" s="2">
        <v>200201010972</v>
      </c>
      <c r="B352" s="10" t="s">
        <v>339</v>
      </c>
      <c r="C352" s="6" t="s">
        <v>696</v>
      </c>
      <c r="E352" s="21" t="s">
        <v>150</v>
      </c>
      <c r="G352" s="1" t="s">
        <v>129</v>
      </c>
      <c r="H352" s="1">
        <v>0</v>
      </c>
      <c r="I352" s="1" t="s">
        <v>782</v>
      </c>
      <c r="J352" s="24">
        <v>46087</v>
      </c>
      <c r="K352" s="16">
        <v>817221.49799999991</v>
      </c>
      <c r="L352" s="19">
        <v>777569.80199999991</v>
      </c>
      <c r="M352" s="19">
        <v>978569.12155000004</v>
      </c>
      <c r="N352" s="17">
        <v>2495156.0483499998</v>
      </c>
      <c r="O352" s="18">
        <f>IFERROR(Table1[[#This Row],[30-7 stock lvl]]/Table1[[#This Row],[26-Aug]],0)</f>
        <v>2.5498005132205774</v>
      </c>
      <c r="P352" s="1" t="s">
        <v>823</v>
      </c>
    </row>
    <row r="353" spans="1:16" x14ac:dyDescent="0.25">
      <c r="A353" s="2">
        <v>200204010001</v>
      </c>
      <c r="B353" s="10" t="s">
        <v>488</v>
      </c>
      <c r="C353" s="6" t="s">
        <v>489</v>
      </c>
      <c r="E353" s="21" t="s">
        <v>186</v>
      </c>
      <c r="G353" s="1" t="s">
        <v>129</v>
      </c>
      <c r="H353" s="1">
        <v>0</v>
      </c>
      <c r="I353" s="1" t="s">
        <v>785</v>
      </c>
      <c r="J353" s="24">
        <v>44677</v>
      </c>
      <c r="K353" s="16">
        <v>183247.5165</v>
      </c>
      <c r="L353" s="19">
        <v>266502.40860000002</v>
      </c>
      <c r="M353" s="19">
        <v>294218.03460000001</v>
      </c>
      <c r="N353" s="17">
        <v>742705.63155000005</v>
      </c>
      <c r="O353" s="18">
        <f>IFERROR(Table1[[#This Row],[30-7 stock lvl]]/Table1[[#This Row],[26-Aug]],0)</f>
        <v>2.5243375463361213</v>
      </c>
      <c r="P353" s="1" t="s">
        <v>823</v>
      </c>
    </row>
    <row r="354" spans="1:16" x14ac:dyDescent="0.25">
      <c r="A354" s="2">
        <v>200201010901</v>
      </c>
      <c r="B354" s="10" t="s">
        <v>217</v>
      </c>
      <c r="C354" s="6" t="s">
        <v>218</v>
      </c>
      <c r="E354" s="21" t="s">
        <v>6</v>
      </c>
      <c r="G354" s="1" t="s">
        <v>7</v>
      </c>
      <c r="H354" s="1">
        <v>0</v>
      </c>
      <c r="I354" s="1" t="s">
        <v>782</v>
      </c>
      <c r="J354" s="24">
        <v>44737</v>
      </c>
      <c r="K354" s="16">
        <v>651994.73829999985</v>
      </c>
      <c r="L354" s="19">
        <v>750861.82845000015</v>
      </c>
      <c r="M354" s="19">
        <v>690296.84305000002</v>
      </c>
      <c r="N354" s="17">
        <v>1740932.7385</v>
      </c>
      <c r="O354" s="18">
        <f>IFERROR(Table1[[#This Row],[30-7 stock lvl]]/Table1[[#This Row],[26-Aug]],0)</f>
        <v>2.5220059399487935</v>
      </c>
      <c r="P354" s="1" t="s">
        <v>825</v>
      </c>
    </row>
    <row r="355" spans="1:16" x14ac:dyDescent="0.25">
      <c r="A355" s="2">
        <v>200201010951</v>
      </c>
      <c r="B355" s="10" t="s">
        <v>306</v>
      </c>
      <c r="C355" s="6" t="s">
        <v>307</v>
      </c>
      <c r="D355" s="6" t="s">
        <v>827</v>
      </c>
      <c r="E355" s="21" t="s">
        <v>150</v>
      </c>
      <c r="G355" s="1" t="s">
        <v>129</v>
      </c>
      <c r="H355" s="1" t="s">
        <v>760</v>
      </c>
      <c r="I355" s="1" t="s">
        <v>782</v>
      </c>
      <c r="J355" s="24">
        <v>45616</v>
      </c>
      <c r="K355" s="16">
        <v>600348.08849999995</v>
      </c>
      <c r="L355" s="19">
        <v>670206.25159999996</v>
      </c>
      <c r="M355" s="19">
        <v>727137.17749999999</v>
      </c>
      <c r="N355" s="17">
        <v>1814605.9565000001</v>
      </c>
      <c r="O355" s="18">
        <f>IFERROR(Table1[[#This Row],[30-7 stock lvl]]/Table1[[#This Row],[26-Aug]],0)</f>
        <v>2.4955483128216205</v>
      </c>
      <c r="P355" s="1" t="s">
        <v>823</v>
      </c>
    </row>
    <row r="356" spans="1:16" x14ac:dyDescent="0.25">
      <c r="A356" s="2">
        <v>100202001017</v>
      </c>
      <c r="B356" s="10" t="s">
        <v>40</v>
      </c>
      <c r="C356" s="6" t="s">
        <v>41</v>
      </c>
      <c r="D356" s="6" t="s">
        <v>827</v>
      </c>
      <c r="E356" s="21" t="s">
        <v>28</v>
      </c>
      <c r="G356" s="1" t="s">
        <v>7</v>
      </c>
      <c r="H356" s="1">
        <v>0</v>
      </c>
      <c r="I356" s="1" t="s">
        <v>782</v>
      </c>
      <c r="J356" s="24">
        <v>43101</v>
      </c>
      <c r="K356" s="16">
        <v>158062.84250000003</v>
      </c>
      <c r="L356" s="19">
        <v>210641.26</v>
      </c>
      <c r="M356" s="19">
        <v>206002.63159999999</v>
      </c>
      <c r="N356" s="17">
        <v>497076.30200000003</v>
      </c>
      <c r="O356" s="18">
        <f>IFERROR(Table1[[#This Row],[30-7 stock lvl]]/Table1[[#This Row],[26-Aug]],0)</f>
        <v>2.4129609322913139</v>
      </c>
      <c r="P356" s="1" t="s">
        <v>823</v>
      </c>
    </row>
    <row r="357" spans="1:16" x14ac:dyDescent="0.25">
      <c r="A357" s="2">
        <v>200201010952</v>
      </c>
      <c r="B357" s="10" t="s">
        <v>308</v>
      </c>
      <c r="C357" s="6" t="s">
        <v>309</v>
      </c>
      <c r="E357" s="21" t="s">
        <v>28</v>
      </c>
      <c r="G357" s="1" t="s">
        <v>7</v>
      </c>
      <c r="H357" s="1">
        <v>0</v>
      </c>
      <c r="I357" s="1" t="s">
        <v>782</v>
      </c>
      <c r="J357" s="24">
        <v>46367</v>
      </c>
      <c r="K357" s="16">
        <v>376573.52190000005</v>
      </c>
      <c r="L357" s="19">
        <v>526678.55000000005</v>
      </c>
      <c r="M357" s="19">
        <v>508163.96</v>
      </c>
      <c r="N357" s="17">
        <v>1224663.6000000001</v>
      </c>
      <c r="O357" s="18">
        <f>IFERROR(Table1[[#This Row],[30-7 stock lvl]]/Table1[[#This Row],[26-Aug]],0)</f>
        <v>2.4099772837097695</v>
      </c>
      <c r="P357" s="1" t="s">
        <v>823</v>
      </c>
    </row>
    <row r="358" spans="1:16" x14ac:dyDescent="0.25">
      <c r="A358" s="2">
        <v>102002004001</v>
      </c>
      <c r="B358" s="10" t="s">
        <v>193</v>
      </c>
      <c r="C358" s="6" t="s">
        <v>194</v>
      </c>
      <c r="E358" s="21" t="s">
        <v>150</v>
      </c>
      <c r="G358" s="1" t="s">
        <v>129</v>
      </c>
      <c r="H358" s="1">
        <v>0</v>
      </c>
      <c r="I358" s="1" t="s">
        <v>782</v>
      </c>
      <c r="J358" s="24">
        <v>44228</v>
      </c>
      <c r="K358" s="16">
        <v>908990.57299999974</v>
      </c>
      <c r="L358" s="19">
        <v>991173.51599999995</v>
      </c>
      <c r="M358" s="19">
        <v>940857.10750000004</v>
      </c>
      <c r="N358" s="17">
        <v>2241988.0090000001</v>
      </c>
      <c r="O358" s="18">
        <f>IFERROR(Table1[[#This Row],[30-7 stock lvl]]/Table1[[#This Row],[26-Aug]],0)</f>
        <v>2.3829208400809154</v>
      </c>
      <c r="P358" s="1" t="s">
        <v>823</v>
      </c>
    </row>
    <row r="359" spans="1:16" x14ac:dyDescent="0.25">
      <c r="A359" s="2">
        <v>200201010950</v>
      </c>
      <c r="B359" s="10" t="s">
        <v>304</v>
      </c>
      <c r="C359" s="6" t="s">
        <v>305</v>
      </c>
      <c r="D359" s="6" t="s">
        <v>827</v>
      </c>
      <c r="E359" s="21" t="s">
        <v>150</v>
      </c>
      <c r="G359" s="1" t="s">
        <v>129</v>
      </c>
      <c r="H359" s="1">
        <v>0</v>
      </c>
      <c r="I359" s="1" t="s">
        <v>782</v>
      </c>
      <c r="J359" s="24">
        <v>45617</v>
      </c>
      <c r="K359" s="16">
        <v>566436.69499999995</v>
      </c>
      <c r="L359" s="19">
        <v>565454.81999999983</v>
      </c>
      <c r="M359" s="19">
        <v>618077.41299999994</v>
      </c>
      <c r="N359" s="17">
        <v>1466001.0225</v>
      </c>
      <c r="O359" s="18">
        <f>IFERROR(Table1[[#This Row],[30-7 stock lvl]]/Table1[[#This Row],[26-Aug]],0)</f>
        <v>2.3718728296256315</v>
      </c>
      <c r="P359" s="1" t="s">
        <v>823</v>
      </c>
    </row>
    <row r="360" spans="1:16" x14ac:dyDescent="0.25">
      <c r="A360" s="2">
        <v>200201010948</v>
      </c>
      <c r="B360" s="10" t="s">
        <v>300</v>
      </c>
      <c r="C360" s="6" t="s">
        <v>301</v>
      </c>
      <c r="E360" s="21" t="s">
        <v>128</v>
      </c>
      <c r="G360" s="1" t="s">
        <v>129</v>
      </c>
      <c r="H360" s="1">
        <v>0</v>
      </c>
      <c r="I360" s="1" t="s">
        <v>782</v>
      </c>
      <c r="J360" s="24">
        <v>45618</v>
      </c>
      <c r="K360" s="16">
        <v>741468.51099999994</v>
      </c>
      <c r="L360" s="19">
        <v>653501.66999999993</v>
      </c>
      <c r="M360" s="19">
        <v>751369.64899999998</v>
      </c>
      <c r="N360" s="17">
        <v>1774812.7609999999</v>
      </c>
      <c r="O360" s="18">
        <f>IFERROR(Table1[[#This Row],[30-7 stock lvl]]/Table1[[#This Row],[26-Aug]],0)</f>
        <v>2.3621033446880686</v>
      </c>
      <c r="P360" s="1" t="s">
        <v>823</v>
      </c>
    </row>
    <row r="361" spans="1:16" x14ac:dyDescent="0.25">
      <c r="A361" s="2">
        <v>200204020004</v>
      </c>
      <c r="B361" s="10" t="s">
        <v>504</v>
      </c>
      <c r="C361" s="6" t="s">
        <v>505</v>
      </c>
      <c r="E361" s="21" t="s">
        <v>186</v>
      </c>
      <c r="G361" s="1" t="s">
        <v>129</v>
      </c>
      <c r="H361" s="1">
        <v>0</v>
      </c>
      <c r="I361" s="1" t="s">
        <v>763</v>
      </c>
      <c r="J361" s="24">
        <v>45610</v>
      </c>
      <c r="K361" s="16">
        <v>247601.83000000005</v>
      </c>
      <c r="L361" s="19">
        <v>204124.88000000003</v>
      </c>
      <c r="M361" s="19">
        <v>284296.8175</v>
      </c>
      <c r="N361" s="17">
        <v>656528.51249999995</v>
      </c>
      <c r="O361" s="18">
        <f>IFERROR(Table1[[#This Row],[30-7 stock lvl]]/Table1[[#This Row],[26-Aug]],0)</f>
        <v>2.3093065841301579</v>
      </c>
      <c r="P361" s="1" t="s">
        <v>823</v>
      </c>
    </row>
    <row r="362" spans="1:16" x14ac:dyDescent="0.25">
      <c r="A362" s="2">
        <v>200201010973</v>
      </c>
      <c r="B362" s="10" t="s">
        <v>779</v>
      </c>
      <c r="C362" s="7" t="s">
        <v>780</v>
      </c>
      <c r="D362" s="7"/>
      <c r="E362" s="21" t="s">
        <v>210</v>
      </c>
      <c r="G362" s="1" t="s">
        <v>129</v>
      </c>
      <c r="H362" s="1">
        <v>0</v>
      </c>
      <c r="I362" s="1" t="s">
        <v>782</v>
      </c>
      <c r="J362" s="24">
        <v>46154</v>
      </c>
      <c r="K362" s="16">
        <v>153691.40899999996</v>
      </c>
      <c r="L362" s="19">
        <v>179688.95000000004</v>
      </c>
      <c r="M362" s="19">
        <v>233837.17</v>
      </c>
      <c r="N362" s="17">
        <v>506509.22</v>
      </c>
      <c r="O362" s="18">
        <f>IFERROR(Table1[[#This Row],[30-7 stock lvl]]/Table1[[#This Row],[26-Aug]],0)</f>
        <v>2.1660765908174477</v>
      </c>
      <c r="P362" s="1" t="s">
        <v>823</v>
      </c>
    </row>
    <row r="363" spans="1:16" x14ac:dyDescent="0.25">
      <c r="A363" s="2">
        <v>100602002001</v>
      </c>
      <c r="B363" s="10" t="s">
        <v>126</v>
      </c>
      <c r="C363" s="6" t="s">
        <v>127</v>
      </c>
      <c r="E363" s="21" t="s">
        <v>128</v>
      </c>
      <c r="G363" s="1" t="s">
        <v>129</v>
      </c>
      <c r="H363" s="1">
        <v>0</v>
      </c>
      <c r="I363" s="1" t="s">
        <v>782</v>
      </c>
      <c r="J363" s="24">
        <v>42370</v>
      </c>
      <c r="K363" s="16">
        <v>1463075.7072999999</v>
      </c>
      <c r="L363" s="19">
        <v>1506779.8910000001</v>
      </c>
      <c r="M363" s="19">
        <v>1558869.5944999999</v>
      </c>
      <c r="N363" s="17">
        <v>3376534.6047999999</v>
      </c>
      <c r="O363" s="18">
        <f>IFERROR(Table1[[#This Row],[30-7 stock lvl]]/Table1[[#This Row],[26-Aug]],0)</f>
        <v>2.1660147947673631</v>
      </c>
      <c r="P363" s="1" t="s">
        <v>823</v>
      </c>
    </row>
    <row r="364" spans="1:16" x14ac:dyDescent="0.25">
      <c r="A364" s="2">
        <v>200201010969</v>
      </c>
      <c r="B364" s="10" t="s">
        <v>336</v>
      </c>
      <c r="C364" s="6" t="s">
        <v>337</v>
      </c>
      <c r="E364" s="21" t="s">
        <v>28</v>
      </c>
      <c r="G364" s="1" t="s">
        <v>7</v>
      </c>
      <c r="H364" s="1">
        <v>0</v>
      </c>
      <c r="I364" s="1" t="s">
        <v>782</v>
      </c>
      <c r="J364" s="24">
        <v>46023</v>
      </c>
      <c r="K364" s="16">
        <v>422827.27300000004</v>
      </c>
      <c r="L364" s="19">
        <v>610665.875</v>
      </c>
      <c r="M364" s="19">
        <v>614013.005</v>
      </c>
      <c r="N364" s="17">
        <v>1299836.79</v>
      </c>
      <c r="O364" s="18">
        <f>IFERROR(Table1[[#This Row],[30-7 stock lvl]]/Table1[[#This Row],[26-Aug]],0)</f>
        <v>2.116953190592437</v>
      </c>
      <c r="P364" s="1" t="s">
        <v>823</v>
      </c>
    </row>
    <row r="365" spans="1:16" x14ac:dyDescent="0.25">
      <c r="A365" s="2">
        <v>200201010947</v>
      </c>
      <c r="B365" s="10" t="s">
        <v>298</v>
      </c>
      <c r="C365" s="6" t="s">
        <v>299</v>
      </c>
      <c r="D365" s="6" t="s">
        <v>827</v>
      </c>
      <c r="E365" s="21" t="s">
        <v>150</v>
      </c>
      <c r="G365" s="1" t="s">
        <v>129</v>
      </c>
      <c r="H365" s="1">
        <v>0</v>
      </c>
      <c r="I365" s="1" t="s">
        <v>782</v>
      </c>
      <c r="J365" s="24">
        <v>45629</v>
      </c>
      <c r="K365" s="16">
        <v>1131290.5974999997</v>
      </c>
      <c r="L365" s="19">
        <v>1077992.1314999999</v>
      </c>
      <c r="M365" s="19">
        <v>1138146.8155</v>
      </c>
      <c r="N365" s="17">
        <v>2401411.452</v>
      </c>
      <c r="O365" s="18">
        <f>IFERROR(Table1[[#This Row],[30-7 stock lvl]]/Table1[[#This Row],[26-Aug]],0)</f>
        <v>2.1099311787337687</v>
      </c>
      <c r="P365" s="1" t="s">
        <v>823</v>
      </c>
    </row>
    <row r="366" spans="1:16" x14ac:dyDescent="0.25">
      <c r="A366" s="2">
        <v>200201010953</v>
      </c>
      <c r="B366" s="10" t="s">
        <v>310</v>
      </c>
      <c r="C366" s="6" t="s">
        <v>311</v>
      </c>
      <c r="E366" s="21" t="s">
        <v>128</v>
      </c>
      <c r="G366" s="1" t="s">
        <v>129</v>
      </c>
      <c r="H366" s="1" t="s">
        <v>761</v>
      </c>
      <c r="I366" s="1" t="s">
        <v>782</v>
      </c>
      <c r="J366" s="24">
        <v>45649</v>
      </c>
      <c r="K366" s="16">
        <v>1348025.1139999998</v>
      </c>
      <c r="L366" s="19">
        <v>1367551.2099999995</v>
      </c>
      <c r="M366" s="19">
        <v>1263257.7825</v>
      </c>
      <c r="N366" s="17">
        <v>2613146.9355000001</v>
      </c>
      <c r="O366" s="18">
        <f>IFERROR(Table1[[#This Row],[30-7 stock lvl]]/Table1[[#This Row],[26-Aug]],0)</f>
        <v>2.0685777453344127</v>
      </c>
      <c r="P366" s="1" t="s">
        <v>823</v>
      </c>
    </row>
    <row r="367" spans="1:16" x14ac:dyDescent="0.25">
      <c r="A367" s="2">
        <v>102002006001</v>
      </c>
      <c r="B367" s="10" t="s">
        <v>197</v>
      </c>
      <c r="C367" s="6" t="s">
        <v>198</v>
      </c>
      <c r="E367" s="21" t="s">
        <v>150</v>
      </c>
      <c r="G367" s="1" t="s">
        <v>129</v>
      </c>
      <c r="H367" s="1">
        <v>0</v>
      </c>
      <c r="I367" s="1" t="s">
        <v>782</v>
      </c>
      <c r="J367" s="24">
        <v>44317</v>
      </c>
      <c r="K367" s="16">
        <v>643520.98949999979</v>
      </c>
      <c r="L367" s="19">
        <v>609743.0135</v>
      </c>
      <c r="M367" s="19">
        <v>675474.098</v>
      </c>
      <c r="N367" s="17">
        <v>1370080.2590000001</v>
      </c>
      <c r="O367" s="18">
        <f>IFERROR(Table1[[#This Row],[30-7 stock lvl]]/Table1[[#This Row],[26-Aug]],0)</f>
        <v>2.0283239032505436</v>
      </c>
      <c r="P367" s="1" t="s">
        <v>823</v>
      </c>
    </row>
    <row r="368" spans="1:16" x14ac:dyDescent="0.25">
      <c r="A368" s="2">
        <v>200201010600</v>
      </c>
      <c r="B368" s="10" t="s">
        <v>208</v>
      </c>
      <c r="C368" s="6" t="s">
        <v>209</v>
      </c>
      <c r="E368" s="21" t="s">
        <v>210</v>
      </c>
      <c r="G368" s="1" t="s">
        <v>129</v>
      </c>
      <c r="H368" s="1">
        <v>0</v>
      </c>
      <c r="I368" s="1" t="s">
        <v>782</v>
      </c>
      <c r="J368" s="24">
        <v>44515</v>
      </c>
      <c r="K368" s="16">
        <v>344442.554</v>
      </c>
      <c r="L368" s="19">
        <v>422246.72549999994</v>
      </c>
      <c r="M368" s="19">
        <v>452717.97499999998</v>
      </c>
      <c r="N368" s="17">
        <v>866080.13549999997</v>
      </c>
      <c r="O368" s="18">
        <f>IFERROR(Table1[[#This Row],[30-7 stock lvl]]/Table1[[#This Row],[26-Aug]],0)</f>
        <v>1.9130677007026284</v>
      </c>
      <c r="P368" s="1" t="s">
        <v>823</v>
      </c>
    </row>
    <row r="369" spans="1:16" x14ac:dyDescent="0.25">
      <c r="A369" s="2">
        <v>200201010912</v>
      </c>
      <c r="B369" s="10" t="s">
        <v>237</v>
      </c>
      <c r="C369" s="6" t="s">
        <v>238</v>
      </c>
      <c r="E369" s="21" t="s">
        <v>210</v>
      </c>
      <c r="G369" s="1" t="s">
        <v>129</v>
      </c>
      <c r="H369" s="1">
        <v>0</v>
      </c>
      <c r="I369" s="1" t="s">
        <v>782</v>
      </c>
      <c r="J369" s="24">
        <v>44984</v>
      </c>
      <c r="K369" s="16">
        <v>1035850.1657999997</v>
      </c>
      <c r="L369" s="19">
        <v>1142432.8717499999</v>
      </c>
      <c r="M369" s="19">
        <v>1163932.0976</v>
      </c>
      <c r="N369" s="17">
        <v>2075993.3313500001</v>
      </c>
      <c r="O369" s="18">
        <f>IFERROR(Table1[[#This Row],[30-7 stock lvl]]/Table1[[#This Row],[26-Aug]],0)</f>
        <v>1.7836034727718639</v>
      </c>
      <c r="P369" s="1" t="s">
        <v>823</v>
      </c>
    </row>
    <row r="370" spans="1:16" x14ac:dyDescent="0.25">
      <c r="A370" s="2">
        <v>200205010900</v>
      </c>
      <c r="B370" s="10" t="s">
        <v>623</v>
      </c>
      <c r="C370" s="6" t="s">
        <v>624</v>
      </c>
      <c r="E370" s="21" t="s">
        <v>128</v>
      </c>
      <c r="G370" s="1" t="s">
        <v>129</v>
      </c>
      <c r="H370" s="1">
        <v>0</v>
      </c>
      <c r="I370" s="1" t="s">
        <v>764</v>
      </c>
      <c r="J370" s="24">
        <v>45305</v>
      </c>
      <c r="K370" s="16">
        <v>1420228.1311500003</v>
      </c>
      <c r="L370" s="19">
        <v>1439477.74</v>
      </c>
      <c r="M370" s="19">
        <v>1480621.65325</v>
      </c>
      <c r="N370" s="17">
        <v>2469352.7115000002</v>
      </c>
      <c r="O370" s="18">
        <f>IFERROR(Table1[[#This Row],[30-7 stock lvl]]/Table1[[#This Row],[26-Aug]],0)</f>
        <v>1.6677810337838244</v>
      </c>
      <c r="P370" s="1" t="s">
        <v>823</v>
      </c>
    </row>
    <row r="371" spans="1:16" x14ac:dyDescent="0.25">
      <c r="A371" s="2">
        <v>200201010945</v>
      </c>
      <c r="B371" s="10" t="s">
        <v>294</v>
      </c>
      <c r="C371" s="9" t="s">
        <v>295</v>
      </c>
      <c r="E371" s="21" t="s">
        <v>128</v>
      </c>
      <c r="G371" s="1" t="s">
        <v>129</v>
      </c>
      <c r="H371" s="1">
        <v>0</v>
      </c>
      <c r="I371" s="1" t="s">
        <v>782</v>
      </c>
      <c r="J371" s="24">
        <v>45614</v>
      </c>
      <c r="K371" s="16">
        <v>2706951.3255000003</v>
      </c>
      <c r="L371" s="19">
        <v>2543593.4035000005</v>
      </c>
      <c r="M371" s="19">
        <v>2780968.4342499999</v>
      </c>
      <c r="N371" s="17">
        <v>4372701.1647500005</v>
      </c>
      <c r="O371" s="18">
        <f>IFERROR(Table1[[#This Row],[30-7 stock lvl]]/Table1[[#This Row],[26-Aug]],0)</f>
        <v>1.572366342205274</v>
      </c>
      <c r="P371" s="1" t="s">
        <v>823</v>
      </c>
    </row>
    <row r="372" spans="1:16" x14ac:dyDescent="0.25">
      <c r="A372" s="29">
        <v>200204030064</v>
      </c>
      <c r="B372" s="14" t="s">
        <v>799</v>
      </c>
      <c r="C372" s="32" t="s">
        <v>798</v>
      </c>
      <c r="D372" s="7"/>
      <c r="E372" s="21" t="s">
        <v>511</v>
      </c>
      <c r="G372" s="1" t="s">
        <v>7</v>
      </c>
      <c r="K372" s="22">
        <v>0</v>
      </c>
      <c r="L372" s="17">
        <v>28914.850000000002</v>
      </c>
      <c r="M372" s="17">
        <v>0</v>
      </c>
      <c r="N372" s="17">
        <v>454756.92849999998</v>
      </c>
      <c r="O372" s="18">
        <f>IFERROR(Table1[[#This Row],[30-7 stock lvl]]/Table1[[#This Row],[26-Aug]],0)</f>
        <v>0</v>
      </c>
      <c r="P372" s="1" t="s">
        <v>823</v>
      </c>
    </row>
    <row r="373" spans="1:16" x14ac:dyDescent="0.25">
      <c r="A373" s="2">
        <v>200201010929</v>
      </c>
      <c r="B373" s="14" t="s">
        <v>800</v>
      </c>
      <c r="C373" s="7" t="s">
        <v>797</v>
      </c>
      <c r="D373" s="7"/>
      <c r="E373" s="21" t="s">
        <v>210</v>
      </c>
      <c r="G373" s="1" t="s">
        <v>129</v>
      </c>
      <c r="I373" s="1" t="s">
        <v>782</v>
      </c>
      <c r="K373" s="22">
        <v>0</v>
      </c>
      <c r="L373" s="17">
        <v>56265.191500000001</v>
      </c>
      <c r="M373" s="17">
        <v>0</v>
      </c>
      <c r="N373" s="17">
        <v>329761.60849999997</v>
      </c>
      <c r="O373" s="18">
        <f>IFERROR(Table1[[#This Row],[30-7 stock lvl]]/Table1[[#This Row],[26-Aug]],0)</f>
        <v>0</v>
      </c>
      <c r="P373" s="1" t="s">
        <v>823</v>
      </c>
    </row>
    <row r="374" spans="1:16" x14ac:dyDescent="0.25">
      <c r="A374" s="2">
        <v>100802001002</v>
      </c>
      <c r="B374" s="10" t="s">
        <v>137</v>
      </c>
      <c r="C374" s="9" t="s">
        <v>138</v>
      </c>
      <c r="E374" s="21" t="s">
        <v>13</v>
      </c>
      <c r="F374" s="1" t="s">
        <v>29</v>
      </c>
      <c r="G374" s="1" t="s">
        <v>7</v>
      </c>
      <c r="H374" s="1">
        <v>0</v>
      </c>
      <c r="I374" s="1" t="s">
        <v>782</v>
      </c>
      <c r="J374" s="24">
        <v>43132</v>
      </c>
      <c r="K374" s="16">
        <v>162113.22229999999</v>
      </c>
      <c r="L374" s="19">
        <v>42103.402499999997</v>
      </c>
      <c r="M374" s="19">
        <v>0</v>
      </c>
      <c r="N374" s="17">
        <v>35223.488499999999</v>
      </c>
      <c r="O374" s="18">
        <f>IFERROR(Table1[[#This Row],[30-7 stock lvl]]/Table1[[#This Row],[26-Aug]],0)</f>
        <v>0</v>
      </c>
      <c r="P374" s="1" t="s">
        <v>823</v>
      </c>
    </row>
    <row r="375" spans="1:16" x14ac:dyDescent="0.25">
      <c r="A375" s="2">
        <v>200201010971</v>
      </c>
      <c r="B375" s="10" t="s">
        <v>338</v>
      </c>
      <c r="C375" s="9" t="s">
        <v>695</v>
      </c>
      <c r="E375" s="21" t="s">
        <v>150</v>
      </c>
      <c r="G375" s="1" t="s">
        <v>129</v>
      </c>
      <c r="H375" s="1">
        <v>0</v>
      </c>
      <c r="I375" s="1" t="s">
        <v>782</v>
      </c>
      <c r="J375" s="24">
        <v>46033</v>
      </c>
      <c r="K375" s="22">
        <v>0</v>
      </c>
      <c r="L375" s="17">
        <v>0</v>
      </c>
      <c r="M375" s="17">
        <v>0</v>
      </c>
      <c r="N375" s="17">
        <v>234924.71</v>
      </c>
      <c r="O375" s="18">
        <f>IFERROR(Table1[[#This Row],[30-7 stock lvl]]/Table1[[#This Row],[26-Aug]],0)</f>
        <v>0</v>
      </c>
      <c r="P375" s="1" t="s">
        <v>823</v>
      </c>
    </row>
    <row r="376" spans="1:16" x14ac:dyDescent="0.25">
      <c r="A376" s="2">
        <v>200201010977</v>
      </c>
      <c r="B376" s="12" t="s">
        <v>809</v>
      </c>
      <c r="C376" s="31" t="s">
        <v>817</v>
      </c>
      <c r="D376" s="31"/>
      <c r="E376" s="21" t="s">
        <v>150</v>
      </c>
      <c r="G376" s="1" t="s">
        <v>129</v>
      </c>
      <c r="I376" s="1" t="s">
        <v>782</v>
      </c>
      <c r="J376" s="24">
        <v>46266</v>
      </c>
      <c r="K376" s="22"/>
      <c r="L376" s="19"/>
      <c r="M376" s="19"/>
      <c r="N376" s="17"/>
      <c r="O376" s="18">
        <f>IFERROR(Table1[[#This Row],[30-7 stock lvl]]/Table1[[#This Row],[26-Aug]],0)</f>
        <v>0</v>
      </c>
      <c r="P376" s="1" t="s">
        <v>823</v>
      </c>
    </row>
    <row r="377" spans="1:16" x14ac:dyDescent="0.25">
      <c r="A377" s="2">
        <v>200201010976</v>
      </c>
      <c r="B377" s="12" t="s">
        <v>810</v>
      </c>
      <c r="C377" s="31" t="s">
        <v>816</v>
      </c>
      <c r="D377" s="31"/>
      <c r="E377" s="21" t="s">
        <v>150</v>
      </c>
      <c r="G377" s="1" t="s">
        <v>129</v>
      </c>
      <c r="I377" s="1" t="s">
        <v>782</v>
      </c>
      <c r="J377" s="24">
        <v>46266</v>
      </c>
      <c r="K377" s="22"/>
      <c r="L377" s="19"/>
      <c r="M377" s="19"/>
      <c r="N377" s="17"/>
      <c r="O377" s="18">
        <f>IFERROR(Table1[[#This Row],[30-7 stock lvl]]/Table1[[#This Row],[26-Aug]],0)</f>
        <v>0</v>
      </c>
      <c r="P377" s="1" t="s">
        <v>823</v>
      </c>
    </row>
    <row r="378" spans="1:16" x14ac:dyDescent="0.25">
      <c r="A378" s="2">
        <v>200204030065</v>
      </c>
      <c r="B378" s="12" t="s">
        <v>811</v>
      </c>
      <c r="C378" s="31" t="s">
        <v>818</v>
      </c>
      <c r="D378" s="31"/>
      <c r="E378" s="30" t="s">
        <v>491</v>
      </c>
      <c r="G378" s="1" t="s">
        <v>129</v>
      </c>
      <c r="I378" s="1" t="s">
        <v>785</v>
      </c>
      <c r="J378" s="24">
        <v>46266</v>
      </c>
      <c r="K378" s="22"/>
      <c r="L378" s="19"/>
      <c r="M378" s="19"/>
      <c r="N378" s="17"/>
      <c r="O378" s="18">
        <f>IFERROR(Table1[[#This Row],[30-7 stock lvl]]/Table1[[#This Row],[26-Aug]],0)</f>
        <v>0</v>
      </c>
      <c r="P378" s="1" t="s">
        <v>823</v>
      </c>
    </row>
    <row r="379" spans="1:16" x14ac:dyDescent="0.25">
      <c r="A379" s="2">
        <v>200205020600</v>
      </c>
      <c r="B379" s="12" t="s">
        <v>812</v>
      </c>
      <c r="C379" s="31" t="s">
        <v>819</v>
      </c>
      <c r="D379" s="31"/>
      <c r="E379" s="21" t="s">
        <v>150</v>
      </c>
      <c r="G379" s="1" t="s">
        <v>129</v>
      </c>
      <c r="I379" s="1" t="s">
        <v>782</v>
      </c>
      <c r="J379" s="24">
        <v>46266</v>
      </c>
      <c r="K379" s="22"/>
      <c r="L379" s="19"/>
      <c r="M379" s="19"/>
      <c r="N379" s="17"/>
      <c r="O379" s="18">
        <f>IFERROR(Table1[[#This Row],[30-7 stock lvl]]/Table1[[#This Row],[26-Aug]],0)</f>
        <v>0</v>
      </c>
      <c r="P379" s="1" t="s">
        <v>823</v>
      </c>
    </row>
    <row r="380" spans="1:16" x14ac:dyDescent="0.25">
      <c r="A380" s="2">
        <v>200201010974</v>
      </c>
      <c r="B380" s="12" t="s">
        <v>813</v>
      </c>
      <c r="C380" s="31" t="s">
        <v>815</v>
      </c>
      <c r="D380" s="31"/>
      <c r="E380" s="21" t="s">
        <v>186</v>
      </c>
      <c r="G380" s="1" t="s">
        <v>129</v>
      </c>
      <c r="I380" s="1" t="s">
        <v>782</v>
      </c>
      <c r="J380" s="24">
        <v>46266</v>
      </c>
      <c r="K380" s="22"/>
      <c r="L380" s="19"/>
      <c r="M380" s="19"/>
      <c r="N380" s="17"/>
      <c r="O380" s="18">
        <f>IFERROR(Table1[[#This Row],[30-7 stock lvl]]/Table1[[#This Row],[26-Aug]],0)</f>
        <v>0</v>
      </c>
      <c r="P380" s="1" t="s">
        <v>823</v>
      </c>
    </row>
    <row r="381" spans="1:16" x14ac:dyDescent="0.25">
      <c r="A381" s="2">
        <v>200201010978</v>
      </c>
      <c r="B381" s="12" t="s">
        <v>814</v>
      </c>
      <c r="C381" s="31" t="s">
        <v>820</v>
      </c>
      <c r="D381" s="31"/>
      <c r="E381" s="21" t="s">
        <v>150</v>
      </c>
      <c r="G381" s="1" t="s">
        <v>129</v>
      </c>
      <c r="I381" s="1" t="s">
        <v>782</v>
      </c>
      <c r="J381" s="24">
        <v>46266</v>
      </c>
      <c r="K381" s="22"/>
      <c r="L381" s="19"/>
      <c r="M381" s="19"/>
      <c r="N381" s="17"/>
      <c r="O381" s="18">
        <f>IFERROR(Table1[[#This Row],[30-7 stock lvl]]/Table1[[#This Row],[26-Aug]],0)</f>
        <v>0</v>
      </c>
      <c r="P381" s="1" t="s">
        <v>823</v>
      </c>
    </row>
  </sheetData>
  <conditionalFormatting sqref="A371">
    <cfRule type="duplicateValues" dxfId="1" priority="2"/>
  </conditionalFormatting>
  <conditionalFormatting sqref="A372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motalabmiron@gmail.com</dc:creator>
  <cp:lastModifiedBy>STOCK CONTROLL</cp:lastModifiedBy>
  <dcterms:created xsi:type="dcterms:W3CDTF">2026-05-17T04:56:36Z</dcterms:created>
  <dcterms:modified xsi:type="dcterms:W3CDTF">2026-09-24T12:22:19Z</dcterms:modified>
</cp:coreProperties>
</file>